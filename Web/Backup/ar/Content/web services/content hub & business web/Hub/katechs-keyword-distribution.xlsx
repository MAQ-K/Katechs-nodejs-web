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هيكل" sheetId="1" state="visible" r:id="rId3"/>
    <sheet name="التوزيع" sheetId="2" state="visible" r:id="rId4"/>
    <sheet name="الهب" sheetId="3" state="visible" r:id="rId5"/>
    <sheet name="Pillar 1 - مخصص" sheetId="4" state="visible" r:id="rId6"/>
    <sheet name="Pillar 2 - ووردبريس" sheetId="5" state="visible" r:id="rId7"/>
    <sheet name="Pillar 3 - المتجر" sheetId="6" state="visible" r:id="rId8"/>
    <sheet name="Pillar 4 - سلة" sheetId="7" state="visible" r:id="rId9"/>
    <sheet name="الرئيسية" sheetId="8" state="visible" r:id="rId10"/>
    <sheet name="خارج التوزيع" sheetId="9" state="visible" r:id="rId11"/>
    <sheet name="سجل التغييرات" sheetId="10" state="visible" r:id="rId12"/>
  </sheets>
  <definedNames>
    <definedName function="false" hidden="true" localSheetId="1" name="_xlnm._FilterDatabase" vbProcedure="false">التوزيع!$A$1:$J$182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<sst xmlns="http://schemas.openxmlformats.org/spreadsheetml/2006/main" count="2768" uniqueCount="356">
  <si>
    <t xml:space="preserve">المستوى</t>
  </si>
  <si>
    <t xml:space="preserve">الصفحة</t>
  </si>
  <si>
    <t xml:space="preserve">تتبع</t>
  </si>
  <si>
    <t xml:space="preserve">الرابط المقترح</t>
  </si>
  <si>
    <t xml:space="preserve">الكلمة الرئيسية</t>
  </si>
  <si>
    <t xml:space="preserve">SV الرئيسية</t>
  </si>
  <si>
    <t xml:space="preserve">عدد الكلمات</t>
  </si>
  <si>
    <t xml:space="preserve">مجموع SV</t>
  </si>
  <si>
    <t xml:space="preserve">نية البحث</t>
  </si>
  <si>
    <t xml:space="preserve">المظلة</t>
  </si>
  <si>
    <t xml:space="preserve">الهب: شركة تصميم مواقع الويب</t>
  </si>
  <si>
    <t xml:space="preserve">—</t>
  </si>
  <si>
    <t xml:space="preserve">/web-design/</t>
  </si>
  <si>
    <t xml:space="preserve">شركة تصميم مواقع الويب (H1) + شركة تصميم مواقع (Title)</t>
  </si>
  <si>
    <t xml:space="preserve">تجارية: يبحث عن شركة أو عن الخدمة عموماً</t>
  </si>
  <si>
    <t xml:space="preserve">Pillar 1</t>
  </si>
  <si>
    <t xml:space="preserve">موقع مخصص</t>
  </si>
  <si>
    <t xml:space="preserve">الهب</t>
  </si>
  <si>
    <t xml:space="preserve">/web-design/custom-website/</t>
  </si>
  <si>
    <t xml:space="preserve">تصميم موقع إلكتروني</t>
  </si>
  <si>
    <t xml:space="preserve">شرائية: يريد من ينفذ له موقعاً</t>
  </si>
  <si>
    <t xml:space="preserve">Cluster</t>
  </si>
  <si>
    <t xml:space="preserve">مقال: تكلفة إنشاء موقع إلكتروني في مصر 2026: دليل الأسعار</t>
  </si>
  <si>
    <t xml:space="preserve">/blog/[تأكيد]</t>
  </si>
  <si>
    <t xml:space="preserve">تكلفة انشاء موقع الكتروني</t>
  </si>
  <si>
    <t xml:space="preserve">بحث قبل الشراء: يقارن التكلفة</t>
  </si>
  <si>
    <t xml:space="preserve">مقال: أنواع المواقع الإلكترونية</t>
  </si>
  <si>
    <t xml:space="preserve">انواع المواقع الالكترونية</t>
  </si>
  <si>
    <t xml:space="preserve">معلوماتية</t>
  </si>
  <si>
    <t xml:space="preserve">مقال: كيف تنشئ موقعاً إلكترونياً لنشاطك: بنفسك أم مع شركة؟</t>
  </si>
  <si>
    <t xml:space="preserve">انشاء موقع الكتروني</t>
  </si>
  <si>
    <t xml:space="preserve">معلوماتية: يتعلم الخطوات</t>
  </si>
  <si>
    <t xml:space="preserve">Pillar 2</t>
  </si>
  <si>
    <t xml:space="preserve">موقع تديره بنفسك (ووردبريس)</t>
  </si>
  <si>
    <t xml:space="preserve">/web-design/wordpress/</t>
  </si>
  <si>
    <t xml:space="preserve">تصميم مواقع ووردبريس</t>
  </si>
  <si>
    <t xml:space="preserve">شرائية</t>
  </si>
  <si>
    <t xml:space="preserve">مقال: ما هو ووردبريس، وهل يناسب موقع شركتك؟</t>
  </si>
  <si>
    <t xml:space="preserve">موقع wordpress</t>
  </si>
  <si>
    <t xml:space="preserve">Pillar 3</t>
  </si>
  <si>
    <t xml:space="preserve">المتجر الإلكتروني المخصص</t>
  </si>
  <si>
    <t xml:space="preserve">/web-design/online-store/</t>
  </si>
  <si>
    <t xml:space="preserve">تصميم متجر الكتروني</t>
  </si>
  <si>
    <t xml:space="preserve">مقال: تكلفة إنشاء متجر إلكتروني في مصر</t>
  </si>
  <si>
    <t xml:space="preserve">تكلفة عمل متجر الكتروني</t>
  </si>
  <si>
    <t xml:space="preserve">مقال: كيف تنشئ متجراً إلكترونياً: منصة جاهزة أم متجر مخصص؟</t>
  </si>
  <si>
    <t xml:space="preserve">إنشاء متجر إلكتروني</t>
  </si>
  <si>
    <t xml:space="preserve">مقال: ابدأ التجارة الإلكترونية في مصر</t>
  </si>
  <si>
    <t xml:space="preserve">التجارة الإلكترونية</t>
  </si>
  <si>
    <t xml:space="preserve">مقال: أفضل موقع لإنشاء متجر إلكتروني</t>
  </si>
  <si>
    <t xml:space="preserve">أفضل موقع لإنشاء متجر الكتروني</t>
  </si>
  <si>
    <t xml:space="preserve">معلوماتية: يقارن المنصات</t>
  </si>
  <si>
    <t xml:space="preserve">Pillar 4</t>
  </si>
  <si>
    <t xml:space="preserve">متجر سلة</t>
  </si>
  <si>
    <t xml:space="preserve">/web-design/salla-store/</t>
  </si>
  <si>
    <t xml:space="preserve">تصميم متجر سلة</t>
  </si>
  <si>
    <t xml:space="preserve">الرئيسية</t>
  </si>
  <si>
    <t xml:space="preserve">الصفحة الرئيسية (قسم المواقع)</t>
  </si>
  <si>
    <t xml:space="preserve">/</t>
  </si>
  <si>
    <t xml:space="preserve">علامة تجارية</t>
  </si>
  <si>
    <t xml:space="preserve">غير مستهدف</t>
  </si>
  <si>
    <t xml:space="preserve">غير مستهدف (نية تعلم أو وظائف)</t>
  </si>
  <si>
    <t xml:space="preserve">تعلم</t>
  </si>
  <si>
    <t xml:space="preserve">مستبعد</t>
  </si>
  <si>
    <t xml:space="preserve">خارج النطاق</t>
  </si>
  <si>
    <t xml:space="preserve">الإجمالي</t>
  </si>
  <si>
    <t xml:space="preserve">تحقق: عدد الكلمات</t>
  </si>
  <si>
    <t xml:space="preserve">مراجعة 7 أكتوبر 2026: رُوجعت نية البحث لكل الكلمات الـ 181 ببحث فعلي، كلمة كلمة لكل صيغة رئيسية، والصيغ الإملائية تأخذ نية الكلمة التي تشبهها.</t>
  </si>
  <si>
    <t xml:space="preserve">حدود المراجعة: أداة البحث المستخدمة تعرض نتائج عربية لكنها ليست مضبوطة على جوجل مصر، فهي تحدد النية لا الترتيب. الكلمات المكتوب أمامها «تحتاج تأكيداً» تُراجع يدوياً من مصر.</t>
  </si>
  <si>
    <t xml:space="preserve">الخلية الصفراء في عمود «تغيّر بعد التحقق» تعني أن الكلمة انتقلت من صفحتها السابقة.</t>
  </si>
  <si>
    <t xml:space="preserve">أُلغي مقال «إنشاء متجر سلة خطوة بخطوة» لأن نتائج كلمته عروض خدمات، فانتقلت لصفحة سلة. وأُضيف مقال «تكلفة إنشاء متجر إلكتروني في مصر».</t>
  </si>
  <si>
    <t xml:space="preserve">الكلمة</t>
  </si>
  <si>
    <t xml:space="preserve">SV</t>
  </si>
  <si>
    <t xml:space="preserve">الدور</t>
  </si>
  <si>
    <t xml:space="preserve">الموضع في الصفحة</t>
  </si>
  <si>
    <t xml:space="preserve">ماذا ظهر في نتائج البحث</t>
  </si>
  <si>
    <t xml:space="preserve">تغيّر بعد التحقق</t>
  </si>
  <si>
    <t xml:space="preserve">شركة تصميم مواقع</t>
  </si>
  <si>
    <t xml:space="preserve">رئيسية</t>
  </si>
  <si>
    <t xml:space="preserve">Title + ضمن H1 + Meta + أول جملة في «أي خدمة تحتاج؟»</t>
  </si>
  <si>
    <t xml:space="preserve">تحققك من مصر: خريطة شركات محلية (Local Pack) في القاهرة + قوائم «أفضل شركات تصميم مواقع»: تجارية محلية مؤكدة</t>
  </si>
  <si>
    <t xml:space="preserve">نعم (تأكيد)</t>
  </si>
  <si>
    <t xml:space="preserve">شركة تصميم مواقع الويب</t>
  </si>
  <si>
    <t xml:space="preserve">H1 (مطابق حرفياً) + Meta</t>
  </si>
  <si>
    <t xml:space="preserve">صيغة «شركة» تجارية بطبيعتها؛ أداة البحث أعادت نتائج ضعيفة، يُفضّل تأكيدها من مصر</t>
  </si>
  <si>
    <t xml:space="preserve">شركات تصميم مواقع</t>
  </si>
  <si>
    <t xml:space="preserve">رئيسية (صيغة الجمع)</t>
  </si>
  <si>
    <t xml:space="preserve">مقدمة «لماذا كاتكس»</t>
  </si>
  <si>
    <t xml:space="preserve">تصميم مواقع</t>
  </si>
  <si>
    <t xml:space="preserve">داعمة</t>
  </si>
  <si>
    <t xml:space="preserve">H2 قسم الخدمات</t>
  </si>
  <si>
    <t xml:space="preserve">تحققك من مصر: أغلب النتائج شركات</t>
  </si>
  <si>
    <t xml:space="preserve">نعم</t>
  </si>
  <si>
    <t xml:space="preserve">تصميم مواقع / تصميم المواقع</t>
  </si>
  <si>
    <t xml:space="preserve">العنوان الصغير «خدمات تصميم المواقع»</t>
  </si>
  <si>
    <t xml:space="preserve">خليط: عروض خدمات ومنتديات وأدلة، يميل للتجاري</t>
  </si>
  <si>
    <t xml:space="preserve">شركات تصميم المواقع في مصر</t>
  </si>
  <si>
    <t xml:space="preserve">فقرة المقر في «لماذا كاتكس»</t>
  </si>
  <si>
    <t xml:space="preserve">أدلة شركات (الصفحات الصفراء) ووظائف: تجارية محلية</t>
  </si>
  <si>
    <t xml:space="preserve">شركة تصميم مواقع في مصر</t>
  </si>
  <si>
    <t xml:space="preserve">Title + أول جملة في «أي خدمة تحتاج؟» + Schema</t>
  </si>
  <si>
    <t xml:space="preserve">تصميم المواقع الإلكترونية / تصميم مواقع الكترونيه</t>
  </si>
  <si>
    <t xml:space="preserve">مقدمة قسم الخدمات</t>
  </si>
  <si>
    <t xml:space="preserve">خليط: عروض خدمات وأداة بناء وأدلة</t>
  </si>
  <si>
    <t xml:space="preserve">أفضل شركة تصميم مواقع في مصر</t>
  </si>
  <si>
    <t xml:space="preserve">H2 «لماذا كاتكس»</t>
  </si>
  <si>
    <t xml:space="preserve">صيغة إملائية/مرادفة لكلمة مُتحقق منها في نفس الصفحة</t>
  </si>
  <si>
    <t xml:space="preserve">شركة تصميم مواقع الكترونية</t>
  </si>
  <si>
    <t xml:space="preserve">مقدمة «لماذا كاتكس» (داخل «أفضل شركة تصميم مواقع إلكترونية»)</t>
  </si>
  <si>
    <t xml:space="preserve">تطوير مواقع / تطوير المواقع</t>
  </si>
  <si>
    <t xml:space="preserve">مقدمة قسم الخدمات («وتطوير مواقع الويب»)</t>
  </si>
  <si>
    <t xml:space="preserve">عروض خدمات على خمسات ومستقل (يريد من ينفذ)</t>
  </si>
  <si>
    <t xml:space="preserve">شركات تصميم مواقع في القاهرة</t>
  </si>
  <si>
    <t xml:space="preserve">تصميم مواقع الكترونية في مصر</t>
  </si>
  <si>
    <t xml:space="preserve">شركة انشاء مواقع الكترونية</t>
  </si>
  <si>
    <t xml:space="preserve">أفضل شركة تصميم مواقع الكترونية</t>
  </si>
  <si>
    <t xml:space="preserve">تطوير مواقع الويب</t>
  </si>
  <si>
    <t xml:space="preserve">عروض خدمات على خمسات ومستقل (يريد من ينفذ) وصفحة شركة</t>
  </si>
  <si>
    <t xml:space="preserve">خدمات تصميم المواقع</t>
  </si>
  <si>
    <t xml:space="preserve">العنوان الصغير فوق «أي خدمة تحتاج؟»</t>
  </si>
  <si>
    <t xml:space="preserve">أفضل شركة تصميم مواقع فى مصر</t>
  </si>
  <si>
    <t xml:space="preserve">متغير</t>
  </si>
  <si>
    <t xml:space="preserve">تصميم مواقع الكترونية</t>
  </si>
  <si>
    <t xml:space="preserve">أفضل شركة تصميم مواقع / افضل شركة تصميم المواقع / افضل شركة لتصميم المواقع</t>
  </si>
  <si>
    <t xml:space="preserve">داخل H2 «لماذا كاتكس»</t>
  </si>
  <si>
    <t xml:space="preserve">شركات تصميم مواقع فى مصر</t>
  </si>
  <si>
    <t xml:space="preserve">شركات تصميم مواقع الكترونية في مصر</t>
  </si>
  <si>
    <t xml:space="preserve">شركة تصميم مواقع الكترونية في مصر</t>
  </si>
  <si>
    <t xml:space="preserve">شركات انشاء مواقع الكترونية</t>
  </si>
  <si>
    <t xml:space="preserve">أفضل شركة تصميم مواقع إلكترونية</t>
  </si>
  <si>
    <t xml:space="preserve">شركات تصميم مواقع الكترونية / شركات تصميم المواقع الالكترونية</t>
  </si>
  <si>
    <t xml:space="preserve">شركة تصميم ويب سايت</t>
  </si>
  <si>
    <t xml:space="preserve">تصميم مواقع احترافية</t>
  </si>
  <si>
    <t xml:space="preserve">Title + H1 + أول جملة</t>
  </si>
  <si>
    <t xml:space="preserve">شركة برمجة مواقع</t>
  </si>
  <si>
    <t xml:space="preserve">H2 الموقع بنظام خاص</t>
  </si>
  <si>
    <t xml:space="preserve">تصميم ويب سايت</t>
  </si>
  <si>
    <t xml:space="preserve">نص المقدمة</t>
  </si>
  <si>
    <t xml:space="preserve">سعر تصميم موقع الكتروني</t>
  </si>
  <si>
    <t xml:space="preserve">Meta + بطاقة السعر</t>
  </si>
  <si>
    <t xml:space="preserve">شركة برمجة وتصميم مواقع</t>
  </si>
  <si>
    <t xml:space="preserve">نص الموقع بنظام خاص</t>
  </si>
  <si>
    <t xml:space="preserve">تصميم صفحات الويب</t>
  </si>
  <si>
    <t xml:space="preserve">نص قسم «ما يشمله»</t>
  </si>
  <si>
    <t xml:space="preserve">تصميم مواقع شركات</t>
  </si>
  <si>
    <t xml:space="preserve">نص الموقع الثابت</t>
  </si>
  <si>
    <t xml:space="preserve">خليط: مقالات عن تصميم مواقع الشركات وعروض خدمات</t>
  </si>
  <si>
    <t xml:space="preserve">شركة تصميم موقع الكتروني</t>
  </si>
  <si>
    <t xml:space="preserve">نص «لماذا كاتكس» في الخدمة 1</t>
  </si>
  <si>
    <t xml:space="preserve">عرض سعر تصميم موقع الكتروني</t>
  </si>
  <si>
    <t xml:space="preserve">زر «اطلب عرض سعر»</t>
  </si>
  <si>
    <t xml:space="preserve">خليط: عروض خدمات ودليل لكتابة عرض سعر</t>
  </si>
  <si>
    <t xml:space="preserve">تصميم صفحة هبوط</t>
  </si>
  <si>
    <t xml:space="preserve">H3 صفحات الهبوط</t>
  </si>
  <si>
    <t xml:space="preserve">تصميم موقع إلكتروني احترافي</t>
  </si>
  <si>
    <t xml:space="preserve">Meta</t>
  </si>
  <si>
    <t xml:space="preserve">تصميم منصة تعليمية</t>
  </si>
  <si>
    <t xml:space="preserve">H3 أمثلة</t>
  </si>
  <si>
    <t xml:space="preserve">تصميم موقع تعريفي</t>
  </si>
  <si>
    <t xml:space="preserve">H3 الموقع الثابت</t>
  </si>
  <si>
    <t xml:space="preserve">تصميم موقع شركة مقاولات</t>
  </si>
  <si>
    <t xml:space="preserve">تصميم موقع</t>
  </si>
  <si>
    <t xml:space="preserve">داخل H1</t>
  </si>
  <si>
    <t xml:space="preserve">مواقع شركات</t>
  </si>
  <si>
    <t xml:space="preserve">موقع شركات</t>
  </si>
  <si>
    <t xml:space="preserve">شركات برمجة مواقع</t>
  </si>
  <si>
    <t xml:space="preserve">تصميم الويب سايت</t>
  </si>
  <si>
    <t xml:space="preserve">تصميم صفحة ويب</t>
  </si>
  <si>
    <t xml:space="preserve">شركة برمجة مواقع وتطبيقات</t>
  </si>
  <si>
    <t xml:space="preserve">تصميم موقع شركة</t>
  </si>
  <si>
    <t xml:space="preserve">انشاء موقع تعليمي</t>
  </si>
  <si>
    <t xml:space="preserve">أفضل مواقع صفحات الهبوط</t>
  </si>
  <si>
    <t xml:space="preserve">انشاء موقع تعريفي</t>
  </si>
  <si>
    <t xml:space="preserve">موقع تعريفي لشركة</t>
  </si>
  <si>
    <t xml:space="preserve">Title + H1</t>
  </si>
  <si>
    <t xml:space="preserve">تحققك من مصر: مقالات أسعار على مدونات شركات تصميم (Geexar، مسار ويب، كيان ميديا) + GoDaddy: بحث قبل الشراء، مكانها مقال</t>
  </si>
  <si>
    <t xml:space="preserve">تكلفة تصميم موقع الكتروني</t>
  </si>
  <si>
    <t xml:space="preserve">H2</t>
  </si>
  <si>
    <t xml:space="preserve">نفس نية «تكلفة انشاء موقع»</t>
  </si>
  <si>
    <t xml:space="preserve">تكلفة تصميم موقع الكتروني في مصر</t>
  </si>
  <si>
    <t xml:space="preserve">H2 «في مصر»</t>
  </si>
  <si>
    <t xml:space="preserve">أسعار تصميم المواقع</t>
  </si>
  <si>
    <t xml:space="preserve">مقالات أسعار وتكاليف</t>
  </si>
  <si>
    <t xml:space="preserve">اسعار المواقع الالكترونية</t>
  </si>
  <si>
    <t xml:space="preserve">اسعار تصميم المواقع الالكترونية</t>
  </si>
  <si>
    <t xml:space="preserve">اسعار الويب سايت فى مصر</t>
  </si>
  <si>
    <t xml:space="preserve">تكلفة إنشاء موقع الكتروني</t>
  </si>
  <si>
    <t xml:space="preserve">تكلفة عمل موقع الكتروني</t>
  </si>
  <si>
    <t xml:space="preserve">اسعار تصميم مواقع</t>
  </si>
  <si>
    <t xml:space="preserve">اسعار انشاء موقع الكتروني</t>
  </si>
  <si>
    <t xml:space="preserve">كم تكلفة انشاء موقع الكتروني</t>
  </si>
  <si>
    <t xml:space="preserve">مقالات تعريفية (GoDaddy، موضوع)</t>
  </si>
  <si>
    <t xml:space="preserve">الفرق بين المتجر الالكتروني والموقع الالكتروني</t>
  </si>
  <si>
    <t xml:space="preserve">مقالات مقارنة</t>
  </si>
  <si>
    <t xml:space="preserve">موقع الكتروني / الموقع الإلكتروني</t>
  </si>
  <si>
    <t xml:space="preserve">طبيعي فقط</t>
  </si>
  <si>
    <t xml:space="preserve">النص (عام جداً)</t>
  </si>
  <si>
    <t xml:space="preserve">ويب سايت</t>
  </si>
  <si>
    <t xml:space="preserve">موقع ويب / مواقع الويب / موقع الويب</t>
  </si>
  <si>
    <t xml:space="preserve">مواقع ويب / موقع الويب</t>
  </si>
  <si>
    <t xml:space="preserve">موقع الإنترنت</t>
  </si>
  <si>
    <t xml:space="preserve">المواقع الإلكترونية / مواقع إلكترونية</t>
  </si>
  <si>
    <t xml:space="preserve">النص</t>
  </si>
  <si>
    <t xml:space="preserve">موقع الانترنت</t>
  </si>
  <si>
    <t xml:space="preserve">موقع على الإنترنت</t>
  </si>
  <si>
    <t xml:space="preserve">انواع الموقع</t>
  </si>
  <si>
    <t xml:space="preserve">انواع الويب</t>
  </si>
  <si>
    <t xml:space="preserve">انواع الويب سايت</t>
  </si>
  <si>
    <t xml:space="preserve">انواع مواقع</t>
  </si>
  <si>
    <t xml:space="preserve">تحققك من مصر: منصات إنشاء مجانية (Google Sites، Canva، Odoo، SITE123) وشروحات يوتيوب: يريد أن ينشئه بنفسه</t>
  </si>
  <si>
    <t xml:space="preserve">إنشاء الموقع الإلكتروني</t>
  </si>
  <si>
    <t xml:space="preserve">انشاء موقع الالكتروني</t>
  </si>
  <si>
    <t xml:space="preserve">انشاء موقع</t>
  </si>
  <si>
    <t xml:space="preserve">عمل موقع الكتروني</t>
  </si>
  <si>
    <t xml:space="preserve">إنشاء موقع إلكتروني</t>
  </si>
  <si>
    <t xml:space="preserve">إنشاء موقع ويب سايت</t>
  </si>
  <si>
    <t xml:space="preserve">انشاء ويب سايت</t>
  </si>
  <si>
    <t xml:space="preserve">انشاء موقع الويب / انشاء موقع ويب</t>
  </si>
  <si>
    <t xml:space="preserve">أدلة تعليمية (موضوع، AppMaster)</t>
  </si>
  <si>
    <t xml:space="preserve">انشاء صفحات ويب</t>
  </si>
  <si>
    <t xml:space="preserve">نفس النية (أدلة)</t>
  </si>
  <si>
    <t xml:space="preserve">اهمية انشاء موقع الكتروني</t>
  </si>
  <si>
    <t xml:space="preserve">مقال «أهمية الموقع الإلكتروني» مع عروض خدمات</t>
  </si>
  <si>
    <t xml:space="preserve">أنشاء موقع الكتروني</t>
  </si>
  <si>
    <t xml:space="preserve">انشاء موقعك الالكتروني</t>
  </si>
  <si>
    <t xml:space="preserve">إنشاء موقع ويب</t>
  </si>
  <si>
    <t xml:space="preserve">نفس النية</t>
  </si>
  <si>
    <t xml:space="preserve">أنشاء موقع</t>
  </si>
  <si>
    <t xml:space="preserve">انشاء مواقع الكترونية</t>
  </si>
  <si>
    <t xml:space="preserve">انشاء موقعك</t>
  </si>
  <si>
    <t xml:space="preserve">انشاء صفحة ويب</t>
  </si>
  <si>
    <t xml:space="preserve">إنشاء ويب سايت</t>
  </si>
  <si>
    <t xml:space="preserve">انشئ موقعك الالكتروني</t>
  </si>
  <si>
    <t xml:space="preserve">مواقع ووردبريس</t>
  </si>
  <si>
    <t xml:space="preserve">خليط: أمثلة مواقع ووردبريس وعروض خدمات</t>
  </si>
  <si>
    <t xml:space="preserve">متاجر ووردبريس</t>
  </si>
  <si>
    <t xml:space="preserve">H3 باقة «متجر ووردبريس»</t>
  </si>
  <si>
    <t xml:space="preserve">سعر تصميم موقع ووردبريس</t>
  </si>
  <si>
    <t xml:space="preserve">H2 السعر</t>
  </si>
  <si>
    <t xml:space="preserve">تصميم موقع اخباري</t>
  </si>
  <si>
    <t xml:space="preserve">تصميم موقع ووردبريس احترافي</t>
  </si>
  <si>
    <t xml:space="preserve">انشاء موقع ووردبريس</t>
  </si>
  <si>
    <t xml:space="preserve">H3 خطوات العمل</t>
  </si>
  <si>
    <t xml:space="preserve">مصمم ووردبريس</t>
  </si>
  <si>
    <t xml:space="preserve">نص «من ينفذ موقعك»</t>
  </si>
  <si>
    <t xml:space="preserve">موقع ووردبريس</t>
  </si>
  <si>
    <t xml:space="preserve">تصميم موقع ووردبريس</t>
  </si>
  <si>
    <t xml:space="preserve">متجر ووردبريس</t>
  </si>
  <si>
    <t xml:space="preserve">انشاء موقع على الووردبريس</t>
  </si>
  <si>
    <t xml:space="preserve">شروحات «ما هو ووردبريس»</t>
  </si>
  <si>
    <t xml:space="preserve">ووردبريس عربي</t>
  </si>
  <si>
    <t xml:space="preserve">H2 «ووردبريس بالعربي»</t>
  </si>
  <si>
    <t xml:space="preserve">تحققك من مصر: wordpress.com وwordpress.org بالعربية وشروحات يوتيوب: يبحث عن المنصة نفسها</t>
  </si>
  <si>
    <t xml:space="preserve">ووردبريس بالعربية</t>
  </si>
  <si>
    <t xml:space="preserve">نفس نية «ووردبريس عربي»</t>
  </si>
  <si>
    <t xml:space="preserve">wordpress موقع</t>
  </si>
  <si>
    <t xml:space="preserve">تصميم متاجر الكترونية</t>
  </si>
  <si>
    <t xml:space="preserve">تصميم متجر الكتروني احترافي</t>
  </si>
  <si>
    <t xml:space="preserve">شركات تصميم متاجر الكترونية</t>
  </si>
  <si>
    <t xml:space="preserve">خليط: دليل شركات تجارة إلكترونية وعروض خدمات</t>
  </si>
  <si>
    <t xml:space="preserve">شركات تصميم متاجر الكترونية في مصر</t>
  </si>
  <si>
    <t xml:space="preserve">فقرة الـ GEO</t>
  </si>
  <si>
    <t xml:space="preserve">إنشاء متجر شوبيفاي</t>
  </si>
  <si>
    <t xml:space="preserve">سؤال شائع [تأكيد: هل تقدمون شوبيفاي؟]</t>
  </si>
  <si>
    <t xml:space="preserve">انشاء متجر الكتروني في مصر</t>
  </si>
  <si>
    <t xml:space="preserve">تصميم موقع الكتروني لبيع المنتجات</t>
  </si>
  <si>
    <t xml:space="preserve">أفضل شركة تصميم متجر الكتروني</t>
  </si>
  <si>
    <t xml:space="preserve">نص «لماذا كاتكس»</t>
  </si>
  <si>
    <t xml:space="preserve">تصميم واجهة متجر الكتروني</t>
  </si>
  <si>
    <t xml:space="preserve">H3 ما يشمله</t>
  </si>
  <si>
    <t xml:space="preserve">متاجر الكترونية</t>
  </si>
  <si>
    <t xml:space="preserve">قوائم متاجر وأسماء متاجر: لا تُستهدف</t>
  </si>
  <si>
    <t xml:space="preserve">المتجر الالكتروني</t>
  </si>
  <si>
    <t xml:space="preserve">متجر الكتروني</t>
  </si>
  <si>
    <t xml:space="preserve">المتاجر الإلكترونية</t>
  </si>
  <si>
    <t xml:space="preserve">تصميم المتاجر</t>
  </si>
  <si>
    <t xml:space="preserve">تصميم المتاجر الالكترونية</t>
  </si>
  <si>
    <t xml:space="preserve">تصميم المتجر</t>
  </si>
  <si>
    <t xml:space="preserve">تصميم متاجر الكترونيه</t>
  </si>
  <si>
    <t xml:space="preserve">تصميم متجر</t>
  </si>
  <si>
    <t xml:space="preserve">تصميم متجر إلكتروني</t>
  </si>
  <si>
    <t xml:space="preserve">شركات تصميم متجر الكتروني</t>
  </si>
  <si>
    <t xml:space="preserve">شركة تصميم متاجر الكترونية</t>
  </si>
  <si>
    <t xml:space="preserve">مقالات تكلفة (زد، المال، Shoplazza)</t>
  </si>
  <si>
    <t xml:space="preserve">تكلفة انشاء متجر الكتروني</t>
  </si>
  <si>
    <t xml:space="preserve">تكلفة انشاء متجر الكتروني في مصر</t>
  </si>
  <si>
    <t xml:space="preserve">تكاليف انشاء متجر الكتروني</t>
  </si>
  <si>
    <t xml:space="preserve">تحققك من مصر: شروحات ومنصات مجانية (سلة، Easy Orders، SITE123، شطنة) مع عروض خمسات ومستقل: خليط يميل للتعلم</t>
  </si>
  <si>
    <t xml:space="preserve">إنشاء متجر</t>
  </si>
  <si>
    <t xml:space="preserve">إنشاء موقع إلكتروني تجاري</t>
  </si>
  <si>
    <t xml:space="preserve">H2 «إنشاء موقع تجاري لبيع منتجاتك»</t>
  </si>
  <si>
    <t xml:space="preserve">أدلة «كيفية إنشاء موقع تجاري»</t>
  </si>
  <si>
    <t xml:space="preserve">إنشاء متجر سلة</t>
  </si>
  <si>
    <t xml:space="preserve">H2 «إنشاء متجر على سلة» + رابط لصفحة سلة</t>
  </si>
  <si>
    <t xml:space="preserve">عمل متجر الكتروني</t>
  </si>
  <si>
    <t xml:space="preserve">انشاء متاجر الكترونية</t>
  </si>
  <si>
    <t xml:space="preserve">مواد جامعية ومحاضرات: معلوماتية</t>
  </si>
  <si>
    <t xml:space="preserve">مقالات مقارنة منصات</t>
  </si>
  <si>
    <t xml:space="preserve">أفضل متجر إلكتروني</t>
  </si>
  <si>
    <t xml:space="preserve">تصميم متاجر سلة</t>
  </si>
  <si>
    <t xml:space="preserve">موقعك الإلكتروني</t>
  </si>
  <si>
    <t xml:space="preserve">H2 قسم المواقع</t>
  </si>
  <si>
    <t xml:space="preserve">متجرك الإلكتروني</t>
  </si>
  <si>
    <t xml:space="preserve">نص بطاقة المتاجر</t>
  </si>
  <si>
    <t xml:space="preserve">خدمات المواقع</t>
  </si>
  <si>
    <t xml:space="preserve">العنوان الصغير فوق H2 القسم</t>
  </si>
  <si>
    <t xml:space="preserve">تصميم مواقع وتطبيقات</t>
  </si>
  <si>
    <t xml:space="preserve">سطر الربط بقسم التطبيقات</t>
  </si>
  <si>
    <t xml:space="preserve">تصميم مواقع الويب / تصميم مواقع ويب</t>
  </si>
  <si>
    <t xml:space="preserve">مضمّنة داخل H1 «شركة تصميم مواقع الويب»، ولا تُستهدف بعنوان مستقل لأن نتائجها تعليمية</t>
  </si>
  <si>
    <t xml:space="preserve">منتديات وأدلة ومقالات تعليمية</t>
  </si>
  <si>
    <t xml:space="preserve">موقع احترافي</t>
  </si>
  <si>
    <t xml:space="preserve">أُعيدت لتصنيفك الأصلي: لم يُتحقق منها من مصر</t>
  </si>
  <si>
    <t xml:space="preserve">موقع احترافى</t>
  </si>
  <si>
    <t xml:space="preserve">تطوير الويب</t>
  </si>
  <si>
    <t xml:space="preserve">نية تعلم (دورات وأدلة)، لا نية شراء</t>
  </si>
  <si>
    <t xml:space="preserve">دورات Udemy وأدلة للمبتدئين</t>
  </si>
  <si>
    <t xml:space="preserve">تصميم مواقع انترنت</t>
  </si>
  <si>
    <t xml:space="preserve">وظائف ومواد جامعية</t>
  </si>
  <si>
    <t xml:space="preserve">تطوير الموقع</t>
  </si>
  <si>
    <t xml:space="preserve">تطوير موقع ويب</t>
  </si>
  <si>
    <t xml:space="preserve">متاجر سعودية الكترونية</t>
  </si>
  <si>
    <t xml:space="preserve">نية تسوق أو شراء بيانات متاجر، لا بناء متجر</t>
  </si>
  <si>
    <t xml:space="preserve">قوائم بيانات متاجر للبيع</t>
  </si>
  <si>
    <t xml:space="preserve">شركة تصميم مواقع في الرياض</t>
  </si>
  <si>
    <t xml:space="preserve">لا فرع ولا عنوان في السعودية</t>
  </si>
  <si>
    <t xml:space="preserve">شركة تصميم مواقع في السعودية</t>
  </si>
  <si>
    <t xml:space="preserve">متاجر الكترونية سعودية</t>
  </si>
  <si>
    <t xml:space="preserve">مواقع الشركات</t>
  </si>
  <si>
    <t xml:space="preserve">تحققك من مصر: أدلة شركات (الصفحات الصفراء، EGYDIR، دليل الشركات المصرية): يبحث عن دليل لا عن تصميم موقع</t>
  </si>
  <si>
    <t xml:space="preserve">أفضل شركة تصميم مواقع في السعودية / افضل شركات تصميم المواقع في السعودية / افضل شركة تصميم مواقع في السعودية</t>
  </si>
  <si>
    <t xml:space="preserve">مواقع انشاء تطبيقات</t>
  </si>
  <si>
    <t xml:space="preserve">نية الباحث: أدوات بناء تطبيقات ذاتية</t>
  </si>
  <si>
    <t xml:space="preserve">مقالات «أفضل مواقع لصنع تطبيق بدون برمجة»</t>
  </si>
  <si>
    <t xml:space="preserve">افضل شركة تصميم مواقع في الرياض</t>
  </si>
  <si>
    <t xml:space="preserve">شركة تصميم مواقع الكترونية في السعودية</t>
  </si>
  <si>
    <t xml:space="preserve">شركة تصميم مواقع بالرياض</t>
  </si>
  <si>
    <t xml:space="preserve">اسعار تصميم المواقع في السعودية</t>
  </si>
  <si>
    <t xml:space="preserve">ادارة المتجر الالكتروني</t>
  </si>
  <si>
    <t xml:space="preserve">خدمة مختلفة: توظيف من يدير المتجر ويدخل المنتجات</t>
  </si>
  <si>
    <t xml:space="preserve">ادارة المتاجر الالكترونية</t>
  </si>
  <si>
    <t xml:space="preserve">خدمة مختلفة</t>
  </si>
  <si>
    <t xml:space="preserve">عروض تصميم مواقع</t>
  </si>
  <si>
    <t xml:space="preserve">غامضة: النتائج «عروض تقديمية» لا عروض أسعار</t>
  </si>
  <si>
    <t xml:space="preserve">عروض المواقع</t>
  </si>
  <si>
    <t xml:space="preserve">عروض المواقع الالكترونية</t>
  </si>
  <si>
    <t xml:space="preserve">اسعار المواقع الالكترونية في السعودية</t>
  </si>
  <si>
    <t xml:space="preserve">تغيّر</t>
  </si>
  <si>
    <t xml:space="preserve">من</t>
  </si>
  <si>
    <t xml:space="preserve">إلى</t>
  </si>
  <si>
    <t xml:space="preserve">السبب</t>
  </si>
  <si>
    <t xml:space="preserve">غير مستهدف (نية تعلم)</t>
  </si>
  <si>
    <t xml:space="preserve">مقال: أسعار تصميم المواقع في مصر</t>
  </si>
  <si>
    <t xml:space="preserve">مقال: دليل إنشاء موقع إلكتروني لنشاطك</t>
  </si>
  <si>
    <t xml:space="preserve">مقال: ووردبريس بالعربي، هل يناسب موقع شركتك؟</t>
  </si>
  <si>
    <t xml:space="preserve">مقال: إنشاء متجر سلة خطوة بخطوة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</si>
</sst>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4B537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2456"/>
        <bgColor rgb="FF333333"/>
      </patternFill>
    </fill>
    <fill>
      <patternFill patternType="solid">
        <fgColor rgb="FFDCE3F7"/>
        <bgColor rgb="FFD5D9E6"/>
      </patternFill>
    </fill>
    <fill>
      <patternFill patternType="solid">
        <fgColor rgb="FFD7F2F8"/>
        <bgColor rgb="FFDCE3F7"/>
      </patternFill>
    </fill>
    <fill>
      <patternFill patternType="solid">
        <fgColor rgb="FFFFF4C7"/>
        <bgColor rgb="FFEEEEEE"/>
      </patternFill>
    </fill>
    <fill>
      <patternFill patternType="solid">
        <fgColor rgb="FFEEEEEE"/>
        <bgColor rgb="FFDCE3F7"/>
      </patternFill>
    </fill>
    <fill>
      <patternFill patternType="solid">
        <fgColor rgb="FFFFE08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2456"/>
          <bgColor rgb="FF000000"/>
        </patternFill>
      </fill>
    </dxf>
    <dxf>
      <fill>
        <patternFill patternType="solid">
          <fgColor rgb="FFD7F2F8"/>
          <bgColor rgb="FF000000"/>
        </patternFill>
      </fill>
    </dxf>
    <dxf>
      <fill>
        <patternFill patternType="solid">
          <fgColor rgb="FFDCE3F7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F4C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08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7"/>
      <rgbColor rgb="FFD7F2F8"/>
      <rgbColor rgb="FF660066"/>
      <rgbColor rgb="FFFF8080"/>
      <rgbColor rgb="FF0066CC"/>
      <rgbColor rgb="FFD5D9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F7"/>
      <rgbColor rgb="FFEEEEEE"/>
      <rgbColor rgb="FFFFFF99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4B5372"/>
      <rgbColor rgb="FF969696"/>
      <rgbColor rgb="FF1A24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8" min="6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6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n">
        <v>2400</v>
      </c>
      <c r="G2" s="2" t="n">
        <f aca="false">COUNTIF(التوزيع!$D$2:$D$182,B2)</f>
        <v>28</v>
      </c>
      <c r="H2" s="2" t="n">
        <f aca="false">SUMIF(التوزيع!$D$2:$D$182,B2,التوزيع!$B$2:$B$182)</f>
        <v>12880</v>
      </c>
      <c r="I2" s="2" t="s">
        <v>14</v>
      </c>
    </row>
    <row r="3" customFormat="false" ht="26.8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n">
        <v>1600</v>
      </c>
      <c r="G3" s="3" t="n">
        <f aca="false">COUNTIF(التوزيع!$D$2:$D$182,B3)</f>
        <v>26</v>
      </c>
      <c r="H3" s="3" t="n">
        <f aca="false">SUMIF(التوزيع!$D$2:$D$182,B3,التوزيع!$B$2:$B$182)</f>
        <v>3670</v>
      </c>
      <c r="I3" s="3" t="s">
        <v>20</v>
      </c>
    </row>
    <row r="4" customFormat="false" ht="26.85" hidden="false" customHeight="false" outlineLevel="0" collapsed="false">
      <c r="A4" s="4" t="s">
        <v>21</v>
      </c>
      <c r="B4" s="4" t="s">
        <v>22</v>
      </c>
      <c r="C4" s="4" t="s">
        <v>15</v>
      </c>
      <c r="D4" s="4" t="s">
        <v>23</v>
      </c>
      <c r="E4" s="4" t="s">
        <v>24</v>
      </c>
      <c r="F4" s="4" t="n">
        <v>140</v>
      </c>
      <c r="G4" s="4" t="n">
        <f aca="false">COUNTIF(التوزيع!$D$2:$D$182,B4)</f>
        <v>12</v>
      </c>
      <c r="H4" s="4" t="n">
        <f aca="false">SUMIF(التوزيع!$D$2:$D$182,B4,التوزيع!$B$2:$B$182)</f>
        <v>680</v>
      </c>
      <c r="I4" s="4" t="s">
        <v>25</v>
      </c>
    </row>
    <row r="5" customFormat="false" ht="15" hidden="false" customHeight="false" outlineLevel="0" collapsed="false">
      <c r="A5" s="4" t="s">
        <v>21</v>
      </c>
      <c r="B5" s="4" t="s">
        <v>26</v>
      </c>
      <c r="C5" s="4" t="s">
        <v>15</v>
      </c>
      <c r="D5" s="4" t="s">
        <v>23</v>
      </c>
      <c r="E5" s="4" t="s">
        <v>27</v>
      </c>
      <c r="F5" s="4" t="n">
        <v>30</v>
      </c>
      <c r="G5" s="4" t="n">
        <f aca="false">COUNTIF(التوزيع!$D$2:$D$182,B5)</f>
        <v>14</v>
      </c>
      <c r="H5" s="4" t="n">
        <f aca="false">SUMIF(التوزيع!$D$2:$D$182,B5,التوزيع!$B$2:$B$182)</f>
        <v>19420</v>
      </c>
      <c r="I5" s="4" t="s">
        <v>28</v>
      </c>
    </row>
    <row r="6" customFormat="false" ht="26.85" hidden="false" customHeight="false" outlineLevel="0" collapsed="false">
      <c r="A6" s="4" t="s">
        <v>21</v>
      </c>
      <c r="B6" s="4" t="s">
        <v>29</v>
      </c>
      <c r="C6" s="4" t="s">
        <v>15</v>
      </c>
      <c r="D6" s="4" t="s">
        <v>23</v>
      </c>
      <c r="E6" s="4" t="s">
        <v>30</v>
      </c>
      <c r="F6" s="4" t="n">
        <v>2400</v>
      </c>
      <c r="G6" s="4" t="n">
        <f aca="false">COUNTIF(التوزيع!$D$2:$D$182,B6)</f>
        <v>20</v>
      </c>
      <c r="H6" s="4" t="n">
        <f aca="false">SUMIF(التوزيع!$D$2:$D$182,B6,التوزيع!$B$2:$B$182)</f>
        <v>9300</v>
      </c>
      <c r="I6" s="4" t="s">
        <v>31</v>
      </c>
    </row>
    <row r="7" customFormat="false" ht="15" hidden="false" customHeight="false" outlineLevel="0" collapsed="false">
      <c r="A7" s="3" t="s">
        <v>32</v>
      </c>
      <c r="B7" s="3" t="s">
        <v>33</v>
      </c>
      <c r="C7" s="3" t="s">
        <v>17</v>
      </c>
      <c r="D7" s="3" t="s">
        <v>34</v>
      </c>
      <c r="E7" s="3" t="s">
        <v>35</v>
      </c>
      <c r="F7" s="3" t="n">
        <v>140</v>
      </c>
      <c r="G7" s="3" t="n">
        <f aca="false">COUNTIF(التوزيع!$D$2:$D$182,B7)</f>
        <v>12</v>
      </c>
      <c r="H7" s="3" t="n">
        <f aca="false">SUMIF(التوزيع!$D$2:$D$182,B7,التوزيع!$B$2:$B$182)</f>
        <v>990</v>
      </c>
      <c r="I7" s="3" t="s">
        <v>36</v>
      </c>
    </row>
    <row r="8" customFormat="false" ht="15" hidden="false" customHeight="false" outlineLevel="0" collapsed="false">
      <c r="A8" s="4" t="s">
        <v>21</v>
      </c>
      <c r="B8" s="4" t="s">
        <v>37</v>
      </c>
      <c r="C8" s="4" t="s">
        <v>32</v>
      </c>
      <c r="D8" s="4" t="s">
        <v>23</v>
      </c>
      <c r="E8" s="4" t="s">
        <v>38</v>
      </c>
      <c r="F8" s="4" t="n">
        <v>50</v>
      </c>
      <c r="G8" s="4" t="n">
        <f aca="false">COUNTIF(التوزيع!$D$2:$D$182,B8)</f>
        <v>4</v>
      </c>
      <c r="H8" s="4" t="n">
        <f aca="false">SUMIF(التوزيع!$D$2:$D$182,B8,التوزيع!$B$2:$B$182)</f>
        <v>230</v>
      </c>
      <c r="I8" s="4" t="s">
        <v>28</v>
      </c>
    </row>
    <row r="9" customFormat="false" ht="15" hidden="false" customHeight="false" outlineLevel="0" collapsed="false">
      <c r="A9" s="3" t="s">
        <v>39</v>
      </c>
      <c r="B9" s="3" t="s">
        <v>40</v>
      </c>
      <c r="C9" s="3" t="s">
        <v>17</v>
      </c>
      <c r="D9" s="3" t="s">
        <v>41</v>
      </c>
      <c r="E9" s="3" t="s">
        <v>42</v>
      </c>
      <c r="F9" s="3" t="n">
        <v>210</v>
      </c>
      <c r="G9" s="3" t="n">
        <f aca="false">COUNTIF(التوزيع!$D$2:$D$182,B9)</f>
        <v>22</v>
      </c>
      <c r="H9" s="3" t="n">
        <f aca="false">SUMIF(التوزيع!$D$2:$D$182,B9,التوزيع!$B$2:$B$182)</f>
        <v>4290</v>
      </c>
      <c r="I9" s="3" t="s">
        <v>36</v>
      </c>
    </row>
    <row r="10" customFormat="false" ht="15" hidden="false" customHeight="false" outlineLevel="0" collapsed="false">
      <c r="A10" s="4" t="s">
        <v>21</v>
      </c>
      <c r="B10" s="4" t="s">
        <v>43</v>
      </c>
      <c r="C10" s="4" t="s">
        <v>39</v>
      </c>
      <c r="D10" s="4" t="s">
        <v>23</v>
      </c>
      <c r="E10" s="4" t="s">
        <v>44</v>
      </c>
      <c r="F10" s="4" t="n">
        <v>260</v>
      </c>
      <c r="G10" s="4" t="n">
        <f aca="false">COUNTIF(التوزيع!$D$2:$D$182,B10)</f>
        <v>4</v>
      </c>
      <c r="H10" s="4" t="n">
        <f aca="false">SUMIF(التوزيع!$D$2:$D$182,B10,التوزيع!$B$2:$B$182)</f>
        <v>570</v>
      </c>
      <c r="I10" s="4" t="s">
        <v>25</v>
      </c>
    </row>
    <row r="11" customFormat="false" ht="26.85" hidden="false" customHeight="false" outlineLevel="0" collapsed="false">
      <c r="A11" s="4" t="s">
        <v>21</v>
      </c>
      <c r="B11" s="4" t="s">
        <v>45</v>
      </c>
      <c r="C11" s="4" t="s">
        <v>39</v>
      </c>
      <c r="D11" s="4" t="s">
        <v>23</v>
      </c>
      <c r="E11" s="4" t="s">
        <v>46</v>
      </c>
      <c r="F11" s="4" t="n">
        <v>1900</v>
      </c>
      <c r="G11" s="4" t="n">
        <f aca="false">COUNTIF(التوزيع!$D$2:$D$182,B11)</f>
        <v>6</v>
      </c>
      <c r="H11" s="4" t="n">
        <f aca="false">SUMIF(التوزيع!$D$2:$D$182,B11,التوزيع!$B$2:$B$182)</f>
        <v>2440</v>
      </c>
      <c r="I11" s="4" t="s">
        <v>28</v>
      </c>
    </row>
    <row r="12" customFormat="false" ht="15" hidden="false" customHeight="false" outlineLevel="0" collapsed="false">
      <c r="A12" s="4" t="s">
        <v>21</v>
      </c>
      <c r="B12" s="4" t="s">
        <v>47</v>
      </c>
      <c r="C12" s="4" t="s">
        <v>39</v>
      </c>
      <c r="D12" s="4" t="s">
        <v>23</v>
      </c>
      <c r="E12" s="4" t="s">
        <v>48</v>
      </c>
      <c r="F12" s="4" t="n">
        <v>1600</v>
      </c>
      <c r="G12" s="4" t="n">
        <f aca="false">COUNTIF(التوزيع!$D$2:$D$182,B12)</f>
        <v>1</v>
      </c>
      <c r="H12" s="4" t="n">
        <f aca="false">SUMIF(التوزيع!$D$2:$D$182,B12,التوزيع!$B$2:$B$182)</f>
        <v>1600</v>
      </c>
      <c r="I12" s="4" t="s">
        <v>28</v>
      </c>
    </row>
    <row r="13" customFormat="false" ht="15" hidden="false" customHeight="false" outlineLevel="0" collapsed="false">
      <c r="A13" s="4" t="s">
        <v>21</v>
      </c>
      <c r="B13" s="4" t="s">
        <v>49</v>
      </c>
      <c r="C13" s="4" t="s">
        <v>39</v>
      </c>
      <c r="D13" s="4" t="s">
        <v>23</v>
      </c>
      <c r="E13" s="4" t="s">
        <v>50</v>
      </c>
      <c r="F13" s="4" t="n">
        <v>170</v>
      </c>
      <c r="G13" s="4" t="n">
        <f aca="false">COUNTIF(التوزيع!$D$2:$D$182,B13)</f>
        <v>2</v>
      </c>
      <c r="H13" s="4" t="n">
        <f aca="false">SUMIF(التوزيع!$D$2:$D$182,B13,التوزيع!$B$2:$B$182)</f>
        <v>190</v>
      </c>
      <c r="I13" s="4" t="s">
        <v>51</v>
      </c>
    </row>
    <row r="14" customFormat="false" ht="15" hidden="false" customHeight="false" outlineLevel="0" collapsed="false">
      <c r="A14" s="3" t="s">
        <v>52</v>
      </c>
      <c r="B14" s="3" t="s">
        <v>53</v>
      </c>
      <c r="C14" s="3" t="s">
        <v>17</v>
      </c>
      <c r="D14" s="3" t="s">
        <v>54</v>
      </c>
      <c r="E14" s="3" t="s">
        <v>55</v>
      </c>
      <c r="F14" s="3" t="n">
        <v>70</v>
      </c>
      <c r="G14" s="3" t="n">
        <f aca="false">COUNTIF(التوزيع!$D$2:$D$182,B14)</f>
        <v>2</v>
      </c>
      <c r="H14" s="3" t="n">
        <f aca="false">SUMIF(التوزيع!$D$2:$D$182,B14,التوزيع!$B$2:$B$182)</f>
        <v>140</v>
      </c>
      <c r="I14" s="3" t="s">
        <v>36</v>
      </c>
    </row>
    <row r="15" customFormat="false" ht="15" hidden="false" customHeight="false" outlineLevel="0" collapsed="false">
      <c r="A15" s="5" t="s">
        <v>56</v>
      </c>
      <c r="B15" s="5" t="s">
        <v>57</v>
      </c>
      <c r="C15" s="5" t="s">
        <v>11</v>
      </c>
      <c r="D15" s="5" t="s">
        <v>58</v>
      </c>
      <c r="E15" s="5" t="s">
        <v>11</v>
      </c>
      <c r="F15" s="5"/>
      <c r="G15" s="5" t="n">
        <f aca="false">COUNTIF(التوزيع!$D$2:$D$182,B15)</f>
        <v>4</v>
      </c>
      <c r="H15" s="5" t="n">
        <f aca="false">SUMIF(التوزيع!$D$2:$D$182,B15,التوزيع!$B$2:$B$182)</f>
        <v>8290</v>
      </c>
      <c r="I15" s="5" t="s">
        <v>59</v>
      </c>
    </row>
    <row r="16" customFormat="false" ht="15" hidden="false" customHeight="false" outlineLevel="0" collapsed="false">
      <c r="A16" s="6" t="s">
        <v>60</v>
      </c>
      <c r="B16" s="6" t="s">
        <v>61</v>
      </c>
      <c r="C16" s="6" t="s">
        <v>11</v>
      </c>
      <c r="D16" s="6" t="s">
        <v>11</v>
      </c>
      <c r="E16" s="6" t="s">
        <v>11</v>
      </c>
      <c r="F16" s="6"/>
      <c r="G16" s="6" t="n">
        <f aca="false">COUNTIF(التوزيع!$D$2:$D$182,B16)</f>
        <v>7</v>
      </c>
      <c r="H16" s="6" t="n">
        <f aca="false">SUMIF(التوزيع!$D$2:$D$182,B16,التوزيع!$B$2:$B$182)</f>
        <v>5600</v>
      </c>
      <c r="I16" s="6" t="s">
        <v>62</v>
      </c>
    </row>
    <row r="17" customFormat="false" ht="15" hidden="false" customHeight="false" outlineLevel="0" collapsed="false">
      <c r="A17" s="6" t="s">
        <v>63</v>
      </c>
      <c r="B17" s="6" t="s">
        <v>63</v>
      </c>
      <c r="C17" s="6" t="s">
        <v>11</v>
      </c>
      <c r="D17" s="6" t="s">
        <v>11</v>
      </c>
      <c r="E17" s="6" t="s">
        <v>11</v>
      </c>
      <c r="F17" s="6"/>
      <c r="G17" s="6" t="n">
        <f aca="false">COUNTIF(التوزيع!$D$2:$D$182,B17)</f>
        <v>17</v>
      </c>
      <c r="H17" s="6" t="n">
        <f aca="false">SUMIF(التوزيع!$D$2:$D$182,B17,التوزيع!$B$2:$B$182)</f>
        <v>3310</v>
      </c>
      <c r="I17" s="6" t="s">
        <v>64</v>
      </c>
    </row>
    <row r="18" customFormat="false" ht="15" hidden="false" customHeight="false" outlineLevel="0" collapsed="false">
      <c r="A18" s="7"/>
      <c r="B18" s="7" t="s">
        <v>65</v>
      </c>
      <c r="C18" s="7"/>
      <c r="D18" s="7"/>
      <c r="E18" s="7"/>
      <c r="F18" s="7"/>
      <c r="G18" s="7" t="n">
        <f aca="false">SUM(G2:G17)</f>
        <v>181</v>
      </c>
      <c r="H18" s="7" t="n">
        <f aca="false">SUM(H2:H17)</f>
        <v>73600</v>
      </c>
      <c r="I18" s="7"/>
    </row>
    <row r="19" customFormat="false" ht="15" hidden="false" customHeight="false" outlineLevel="0" collapsed="false">
      <c r="A19" s="4"/>
      <c r="B19" s="4" t="s">
        <v>66</v>
      </c>
      <c r="C19" s="4"/>
      <c r="D19" s="4"/>
      <c r="E19" s="4"/>
      <c r="F19" s="4"/>
      <c r="G19" s="4" t="n">
        <f aca="false">COUNTA(التوزيع!$A$2:$A$182)</f>
        <v>181</v>
      </c>
      <c r="H19" s="4"/>
      <c r="I19" s="4"/>
    </row>
    <row r="21" customFormat="false" ht="15" hidden="false" customHeight="false" outlineLevel="0" collapsed="false">
      <c r="A21" s="8" t="s">
        <v>67</v>
      </c>
    </row>
    <row r="22" customFormat="false" ht="15" hidden="false" customHeight="false" outlineLevel="0" collapsed="false">
      <c r="A22" s="8" t="s">
        <v>68</v>
      </c>
    </row>
    <row r="23" customFormat="false" ht="15" hidden="false" customHeight="false" outlineLevel="0" collapsed="false">
      <c r="A23" s="8" t="s">
        <v>69</v>
      </c>
    </row>
    <row r="24" customFormat="false" ht="15" hidden="false" customHeight="false" outlineLevel="0" collapsed="false">
      <c r="A24" s="8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71</v>
      </c>
      <c r="B1" s="1" t="s">
        <v>72</v>
      </c>
      <c r="C1" s="1" t="s">
        <v>0</v>
      </c>
      <c r="D1" s="1" t="s">
        <v>1</v>
      </c>
      <c r="E1" s="1" t="s">
        <v>2</v>
      </c>
      <c r="F1" s="1" t="s">
        <v>8</v>
      </c>
      <c r="G1" s="1" t="s">
        <v>73</v>
      </c>
      <c r="H1" s="1" t="s">
        <v>74</v>
      </c>
      <c r="I1" s="1" t="s">
        <v>75</v>
      </c>
      <c r="J1" s="1" t="s">
        <v>76</v>
      </c>
    </row>
    <row r="2" customFormat="false" ht="39.55" hidden="false" customHeight="false" outlineLevel="0" collapsed="false">
      <c r="A2" s="2" t="s">
        <v>77</v>
      </c>
      <c r="B2" s="9" t="n">
        <v>2400</v>
      </c>
      <c r="C2" s="2" t="s">
        <v>9</v>
      </c>
      <c r="D2" s="2" t="s">
        <v>10</v>
      </c>
      <c r="E2" s="2" t="s">
        <v>11</v>
      </c>
      <c r="F2" s="2" t="s">
        <v>14</v>
      </c>
      <c r="G2" s="2" t="s">
        <v>78</v>
      </c>
      <c r="H2" s="2" t="s">
        <v>79</v>
      </c>
      <c r="I2" s="2" t="s">
        <v>80</v>
      </c>
      <c r="J2" s="10" t="s">
        <v>81</v>
      </c>
    </row>
    <row r="3" customFormat="false" ht="26.85" hidden="false" customHeight="false" outlineLevel="0" collapsed="false">
      <c r="A3" s="2" t="s">
        <v>82</v>
      </c>
      <c r="B3" s="9" t="n">
        <v>2400</v>
      </c>
      <c r="C3" s="2" t="s">
        <v>9</v>
      </c>
      <c r="D3" s="2" t="s">
        <v>10</v>
      </c>
      <c r="E3" s="2" t="s">
        <v>11</v>
      </c>
      <c r="F3" s="2" t="s">
        <v>14</v>
      </c>
      <c r="G3" s="2" t="s">
        <v>78</v>
      </c>
      <c r="H3" s="2" t="s">
        <v>83</v>
      </c>
      <c r="I3" s="2" t="s">
        <v>84</v>
      </c>
      <c r="J3" s="2"/>
    </row>
    <row r="4" customFormat="false" ht="26.85" hidden="false" customHeight="false" outlineLevel="0" collapsed="false">
      <c r="A4" s="2" t="s">
        <v>85</v>
      </c>
      <c r="B4" s="9" t="n">
        <v>2400</v>
      </c>
      <c r="C4" s="2" t="s">
        <v>9</v>
      </c>
      <c r="D4" s="2" t="s">
        <v>10</v>
      </c>
      <c r="E4" s="2" t="s">
        <v>11</v>
      </c>
      <c r="F4" s="2" t="s">
        <v>14</v>
      </c>
      <c r="G4" s="2" t="s">
        <v>86</v>
      </c>
      <c r="H4" s="2" t="s">
        <v>87</v>
      </c>
      <c r="I4" s="2" t="s">
        <v>84</v>
      </c>
      <c r="J4" s="2"/>
    </row>
    <row r="5" customFormat="false" ht="26.85" hidden="false" customHeight="false" outlineLevel="0" collapsed="false">
      <c r="A5" s="11" t="s">
        <v>88</v>
      </c>
      <c r="B5" s="12" t="n">
        <v>1300</v>
      </c>
      <c r="C5" s="11" t="s">
        <v>9</v>
      </c>
      <c r="D5" s="11" t="s">
        <v>10</v>
      </c>
      <c r="E5" s="11" t="s">
        <v>11</v>
      </c>
      <c r="F5" s="11" t="s">
        <v>14</v>
      </c>
      <c r="G5" s="11" t="s">
        <v>89</v>
      </c>
      <c r="H5" s="11" t="s">
        <v>90</v>
      </c>
      <c r="I5" s="11" t="s">
        <v>91</v>
      </c>
      <c r="J5" s="13" t="s">
        <v>92</v>
      </c>
    </row>
    <row r="6" customFormat="false" ht="26.85" hidden="false" customHeight="false" outlineLevel="0" collapsed="false">
      <c r="A6" s="11" t="s">
        <v>93</v>
      </c>
      <c r="B6" s="12" t="n">
        <v>720</v>
      </c>
      <c r="C6" s="11" t="s">
        <v>9</v>
      </c>
      <c r="D6" s="11" t="s">
        <v>10</v>
      </c>
      <c r="E6" s="11" t="s">
        <v>11</v>
      </c>
      <c r="F6" s="11" t="s">
        <v>14</v>
      </c>
      <c r="G6" s="11" t="s">
        <v>89</v>
      </c>
      <c r="H6" s="11" t="s">
        <v>94</v>
      </c>
      <c r="I6" s="11" t="s">
        <v>95</v>
      </c>
      <c r="J6" s="13" t="s">
        <v>92</v>
      </c>
    </row>
    <row r="7" customFormat="false" ht="26.85" hidden="false" customHeight="false" outlineLevel="0" collapsed="false">
      <c r="A7" s="11" t="s">
        <v>96</v>
      </c>
      <c r="B7" s="12" t="n">
        <v>390</v>
      </c>
      <c r="C7" s="11" t="s">
        <v>9</v>
      </c>
      <c r="D7" s="11" t="s">
        <v>10</v>
      </c>
      <c r="E7" s="11" t="s">
        <v>11</v>
      </c>
      <c r="F7" s="11" t="s">
        <v>14</v>
      </c>
      <c r="G7" s="11" t="s">
        <v>89</v>
      </c>
      <c r="H7" s="11" t="s">
        <v>97</v>
      </c>
      <c r="I7" s="11" t="s">
        <v>98</v>
      </c>
      <c r="J7" s="11"/>
    </row>
    <row r="8" customFormat="false" ht="26.85" hidden="false" customHeight="false" outlineLevel="0" collapsed="false">
      <c r="A8" s="11" t="s">
        <v>99</v>
      </c>
      <c r="B8" s="12" t="n">
        <v>390</v>
      </c>
      <c r="C8" s="11" t="s">
        <v>9</v>
      </c>
      <c r="D8" s="11" t="s">
        <v>10</v>
      </c>
      <c r="E8" s="11" t="s">
        <v>11</v>
      </c>
      <c r="F8" s="11" t="s">
        <v>14</v>
      </c>
      <c r="G8" s="11" t="s">
        <v>89</v>
      </c>
      <c r="H8" s="11" t="s">
        <v>100</v>
      </c>
      <c r="I8" s="11" t="s">
        <v>98</v>
      </c>
      <c r="J8" s="11"/>
    </row>
    <row r="9" customFormat="false" ht="26.85" hidden="false" customHeight="false" outlineLevel="0" collapsed="false">
      <c r="A9" s="11" t="s">
        <v>101</v>
      </c>
      <c r="B9" s="12" t="n">
        <v>390</v>
      </c>
      <c r="C9" s="11" t="s">
        <v>9</v>
      </c>
      <c r="D9" s="11" t="s">
        <v>10</v>
      </c>
      <c r="E9" s="11" t="s">
        <v>11</v>
      </c>
      <c r="F9" s="11" t="s">
        <v>14</v>
      </c>
      <c r="G9" s="11" t="s">
        <v>89</v>
      </c>
      <c r="H9" s="11" t="s">
        <v>102</v>
      </c>
      <c r="I9" s="11" t="s">
        <v>103</v>
      </c>
      <c r="J9" s="13" t="s">
        <v>92</v>
      </c>
    </row>
    <row r="10" customFormat="false" ht="26.85" hidden="false" customHeight="false" outlineLevel="0" collapsed="false">
      <c r="A10" s="11" t="s">
        <v>104</v>
      </c>
      <c r="B10" s="12" t="n">
        <v>320</v>
      </c>
      <c r="C10" s="11" t="s">
        <v>9</v>
      </c>
      <c r="D10" s="11" t="s">
        <v>10</v>
      </c>
      <c r="E10" s="11" t="s">
        <v>11</v>
      </c>
      <c r="F10" s="11" t="s">
        <v>14</v>
      </c>
      <c r="G10" s="11" t="s">
        <v>89</v>
      </c>
      <c r="H10" s="11" t="s">
        <v>105</v>
      </c>
      <c r="I10" s="11" t="s">
        <v>106</v>
      </c>
      <c r="J10" s="11"/>
    </row>
    <row r="11" customFormat="false" ht="26.85" hidden="false" customHeight="false" outlineLevel="0" collapsed="false">
      <c r="A11" s="11" t="s">
        <v>107</v>
      </c>
      <c r="B11" s="12" t="n">
        <v>320</v>
      </c>
      <c r="C11" s="11" t="s">
        <v>9</v>
      </c>
      <c r="D11" s="11" t="s">
        <v>10</v>
      </c>
      <c r="E11" s="11" t="s">
        <v>11</v>
      </c>
      <c r="F11" s="11" t="s">
        <v>14</v>
      </c>
      <c r="G11" s="11" t="s">
        <v>89</v>
      </c>
      <c r="H11" s="11" t="s">
        <v>108</v>
      </c>
      <c r="I11" s="11" t="s">
        <v>106</v>
      </c>
      <c r="J11" s="11"/>
    </row>
    <row r="12" customFormat="false" ht="26.85" hidden="false" customHeight="false" outlineLevel="0" collapsed="false">
      <c r="A12" s="11" t="s">
        <v>109</v>
      </c>
      <c r="B12" s="12" t="n">
        <v>110</v>
      </c>
      <c r="C12" s="11" t="s">
        <v>9</v>
      </c>
      <c r="D12" s="11" t="s">
        <v>10</v>
      </c>
      <c r="E12" s="11" t="s">
        <v>11</v>
      </c>
      <c r="F12" s="11" t="s">
        <v>14</v>
      </c>
      <c r="G12" s="11" t="s">
        <v>89</v>
      </c>
      <c r="H12" s="11" t="s">
        <v>110</v>
      </c>
      <c r="I12" s="11" t="s">
        <v>111</v>
      </c>
      <c r="J12" s="13" t="s">
        <v>92</v>
      </c>
    </row>
    <row r="13" customFormat="false" ht="26.85" hidden="false" customHeight="false" outlineLevel="0" collapsed="false">
      <c r="A13" s="11" t="s">
        <v>112</v>
      </c>
      <c r="B13" s="12" t="n">
        <v>90</v>
      </c>
      <c r="C13" s="11" t="s">
        <v>9</v>
      </c>
      <c r="D13" s="11" t="s">
        <v>10</v>
      </c>
      <c r="E13" s="11" t="s">
        <v>11</v>
      </c>
      <c r="F13" s="11" t="s">
        <v>14</v>
      </c>
      <c r="G13" s="11" t="s">
        <v>89</v>
      </c>
      <c r="H13" s="11" t="s">
        <v>97</v>
      </c>
      <c r="I13" s="11" t="s">
        <v>106</v>
      </c>
      <c r="J13" s="11"/>
    </row>
    <row r="14" customFormat="false" ht="26.85" hidden="false" customHeight="false" outlineLevel="0" collapsed="false">
      <c r="A14" s="11" t="s">
        <v>113</v>
      </c>
      <c r="B14" s="12" t="n">
        <v>70</v>
      </c>
      <c r="C14" s="11" t="s">
        <v>9</v>
      </c>
      <c r="D14" s="11" t="s">
        <v>10</v>
      </c>
      <c r="E14" s="11" t="s">
        <v>11</v>
      </c>
      <c r="F14" s="11" t="s">
        <v>14</v>
      </c>
      <c r="G14" s="11" t="s">
        <v>89</v>
      </c>
      <c r="H14" s="11" t="s">
        <v>97</v>
      </c>
      <c r="I14" s="11" t="s">
        <v>106</v>
      </c>
      <c r="J14" s="11"/>
    </row>
    <row r="15" customFormat="false" ht="26.85" hidden="false" customHeight="false" outlineLevel="0" collapsed="false">
      <c r="A15" s="11" t="s">
        <v>114</v>
      </c>
      <c r="B15" s="12" t="n">
        <v>40</v>
      </c>
      <c r="C15" s="11" t="s">
        <v>9</v>
      </c>
      <c r="D15" s="11" t="s">
        <v>10</v>
      </c>
      <c r="E15" s="11" t="s">
        <v>11</v>
      </c>
      <c r="F15" s="11" t="s">
        <v>14</v>
      </c>
      <c r="G15" s="11" t="s">
        <v>89</v>
      </c>
      <c r="H15" s="11" t="s">
        <v>97</v>
      </c>
      <c r="I15" s="11" t="s">
        <v>106</v>
      </c>
      <c r="J15" s="11"/>
    </row>
    <row r="16" customFormat="false" ht="26.85" hidden="false" customHeight="false" outlineLevel="0" collapsed="false">
      <c r="A16" s="11" t="s">
        <v>115</v>
      </c>
      <c r="B16" s="12" t="n">
        <v>30</v>
      </c>
      <c r="C16" s="11" t="s">
        <v>9</v>
      </c>
      <c r="D16" s="11" t="s">
        <v>10</v>
      </c>
      <c r="E16" s="11" t="s">
        <v>11</v>
      </c>
      <c r="F16" s="11" t="s">
        <v>14</v>
      </c>
      <c r="G16" s="11" t="s">
        <v>89</v>
      </c>
      <c r="H16" s="11" t="s">
        <v>87</v>
      </c>
      <c r="I16" s="11" t="s">
        <v>106</v>
      </c>
      <c r="J16" s="11"/>
    </row>
    <row r="17" customFormat="false" ht="26.85" hidden="false" customHeight="false" outlineLevel="0" collapsed="false">
      <c r="A17" s="11" t="s">
        <v>116</v>
      </c>
      <c r="B17" s="12" t="n">
        <v>30</v>
      </c>
      <c r="C17" s="11" t="s">
        <v>9</v>
      </c>
      <c r="D17" s="11" t="s">
        <v>10</v>
      </c>
      <c r="E17" s="11" t="s">
        <v>11</v>
      </c>
      <c r="F17" s="11" t="s">
        <v>14</v>
      </c>
      <c r="G17" s="11" t="s">
        <v>89</v>
      </c>
      <c r="H17" s="11" t="s">
        <v>102</v>
      </c>
      <c r="I17" s="11" t="s">
        <v>117</v>
      </c>
      <c r="J17" s="13" t="s">
        <v>92</v>
      </c>
    </row>
    <row r="18" customFormat="false" ht="26.85" hidden="false" customHeight="false" outlineLevel="0" collapsed="false">
      <c r="A18" s="11" t="s">
        <v>118</v>
      </c>
      <c r="B18" s="12" t="n">
        <v>20</v>
      </c>
      <c r="C18" s="11" t="s">
        <v>9</v>
      </c>
      <c r="D18" s="11" t="s">
        <v>10</v>
      </c>
      <c r="E18" s="11" t="s">
        <v>11</v>
      </c>
      <c r="F18" s="11" t="s">
        <v>14</v>
      </c>
      <c r="G18" s="11" t="s">
        <v>89</v>
      </c>
      <c r="H18" s="11" t="s">
        <v>119</v>
      </c>
      <c r="I18" s="11" t="s">
        <v>106</v>
      </c>
      <c r="J18" s="11"/>
    </row>
    <row r="19" customFormat="false" ht="26.85" hidden="false" customHeight="false" outlineLevel="0" collapsed="false">
      <c r="A19" s="11" t="s">
        <v>120</v>
      </c>
      <c r="B19" s="12" t="n">
        <v>320</v>
      </c>
      <c r="C19" s="11" t="s">
        <v>9</v>
      </c>
      <c r="D19" s="11" t="s">
        <v>10</v>
      </c>
      <c r="E19" s="11" t="s">
        <v>11</v>
      </c>
      <c r="F19" s="11" t="s">
        <v>14</v>
      </c>
      <c r="G19" s="11" t="s">
        <v>121</v>
      </c>
      <c r="H19" s="11" t="s">
        <v>11</v>
      </c>
      <c r="I19" s="11" t="s">
        <v>106</v>
      </c>
      <c r="J19" s="11"/>
    </row>
    <row r="20" customFormat="false" ht="26.85" hidden="false" customHeight="false" outlineLevel="0" collapsed="false">
      <c r="A20" s="11" t="s">
        <v>122</v>
      </c>
      <c r="B20" s="12" t="n">
        <v>320</v>
      </c>
      <c r="C20" s="11" t="s">
        <v>9</v>
      </c>
      <c r="D20" s="11" t="s">
        <v>10</v>
      </c>
      <c r="E20" s="11" t="s">
        <v>11</v>
      </c>
      <c r="F20" s="11" t="s">
        <v>14</v>
      </c>
      <c r="G20" s="11" t="s">
        <v>121</v>
      </c>
      <c r="H20" s="11" t="s">
        <v>11</v>
      </c>
      <c r="I20" s="11" t="s">
        <v>111</v>
      </c>
      <c r="J20" s="13" t="s">
        <v>92</v>
      </c>
    </row>
    <row r="21" customFormat="false" ht="26.85" hidden="false" customHeight="false" outlineLevel="0" collapsed="false">
      <c r="A21" s="11" t="s">
        <v>123</v>
      </c>
      <c r="B21" s="12" t="n">
        <v>260</v>
      </c>
      <c r="C21" s="11" t="s">
        <v>9</v>
      </c>
      <c r="D21" s="11" t="s">
        <v>10</v>
      </c>
      <c r="E21" s="11" t="s">
        <v>11</v>
      </c>
      <c r="F21" s="11" t="s">
        <v>14</v>
      </c>
      <c r="G21" s="11" t="s">
        <v>121</v>
      </c>
      <c r="H21" s="11" t="s">
        <v>124</v>
      </c>
      <c r="I21" s="11" t="s">
        <v>106</v>
      </c>
      <c r="J21" s="11"/>
    </row>
    <row r="22" customFormat="false" ht="26.85" hidden="false" customHeight="false" outlineLevel="0" collapsed="false">
      <c r="A22" s="11" t="s">
        <v>125</v>
      </c>
      <c r="B22" s="12" t="n">
        <v>260</v>
      </c>
      <c r="C22" s="11" t="s">
        <v>9</v>
      </c>
      <c r="D22" s="11" t="s">
        <v>10</v>
      </c>
      <c r="E22" s="11" t="s">
        <v>11</v>
      </c>
      <c r="F22" s="11" t="s">
        <v>14</v>
      </c>
      <c r="G22" s="11" t="s">
        <v>121</v>
      </c>
      <c r="H22" s="11" t="s">
        <v>11</v>
      </c>
      <c r="I22" s="11" t="s">
        <v>106</v>
      </c>
      <c r="J22" s="11"/>
    </row>
    <row r="23" customFormat="false" ht="26.85" hidden="false" customHeight="false" outlineLevel="0" collapsed="false">
      <c r="A23" s="11" t="s">
        <v>126</v>
      </c>
      <c r="B23" s="12" t="n">
        <v>90</v>
      </c>
      <c r="C23" s="11" t="s">
        <v>9</v>
      </c>
      <c r="D23" s="11" t="s">
        <v>10</v>
      </c>
      <c r="E23" s="11" t="s">
        <v>11</v>
      </c>
      <c r="F23" s="11" t="s">
        <v>14</v>
      </c>
      <c r="G23" s="11" t="s">
        <v>121</v>
      </c>
      <c r="H23" s="11" t="s">
        <v>11</v>
      </c>
      <c r="I23" s="11" t="s">
        <v>106</v>
      </c>
      <c r="J23" s="11"/>
    </row>
    <row r="24" customFormat="false" ht="26.85" hidden="false" customHeight="false" outlineLevel="0" collapsed="false">
      <c r="A24" s="11" t="s">
        <v>127</v>
      </c>
      <c r="B24" s="12" t="n">
        <v>90</v>
      </c>
      <c r="C24" s="11" t="s">
        <v>9</v>
      </c>
      <c r="D24" s="11" t="s">
        <v>10</v>
      </c>
      <c r="E24" s="11" t="s">
        <v>11</v>
      </c>
      <c r="F24" s="11" t="s">
        <v>14</v>
      </c>
      <c r="G24" s="11" t="s">
        <v>121</v>
      </c>
      <c r="H24" s="11" t="s">
        <v>11</v>
      </c>
      <c r="I24" s="11" t="s">
        <v>106</v>
      </c>
      <c r="J24" s="11"/>
    </row>
    <row r="25" customFormat="false" ht="26.85" hidden="false" customHeight="false" outlineLevel="0" collapsed="false">
      <c r="A25" s="11" t="s">
        <v>128</v>
      </c>
      <c r="B25" s="12" t="n">
        <v>40</v>
      </c>
      <c r="C25" s="11" t="s">
        <v>9</v>
      </c>
      <c r="D25" s="11" t="s">
        <v>10</v>
      </c>
      <c r="E25" s="11" t="s">
        <v>11</v>
      </c>
      <c r="F25" s="11" t="s">
        <v>14</v>
      </c>
      <c r="G25" s="11" t="s">
        <v>121</v>
      </c>
      <c r="H25" s="11" t="s">
        <v>11</v>
      </c>
      <c r="I25" s="11" t="s">
        <v>106</v>
      </c>
      <c r="J25" s="11"/>
    </row>
    <row r="26" customFormat="false" ht="26.85" hidden="false" customHeight="false" outlineLevel="0" collapsed="false">
      <c r="A26" s="11" t="s">
        <v>129</v>
      </c>
      <c r="B26" s="12" t="n">
        <v>20</v>
      </c>
      <c r="C26" s="11" t="s">
        <v>9</v>
      </c>
      <c r="D26" s="11" t="s">
        <v>10</v>
      </c>
      <c r="E26" s="11" t="s">
        <v>11</v>
      </c>
      <c r="F26" s="11" t="s">
        <v>14</v>
      </c>
      <c r="G26" s="11" t="s">
        <v>121</v>
      </c>
      <c r="H26" s="11" t="s">
        <v>11</v>
      </c>
      <c r="I26" s="11" t="s">
        <v>106</v>
      </c>
      <c r="J26" s="11"/>
    </row>
    <row r="27" customFormat="false" ht="26.85" hidden="false" customHeight="false" outlineLevel="0" collapsed="false">
      <c r="A27" s="11" t="s">
        <v>130</v>
      </c>
      <c r="B27" s="12" t="n">
        <v>20</v>
      </c>
      <c r="C27" s="11" t="s">
        <v>9</v>
      </c>
      <c r="D27" s="11" t="s">
        <v>10</v>
      </c>
      <c r="E27" s="11" t="s">
        <v>11</v>
      </c>
      <c r="F27" s="11" t="s">
        <v>14</v>
      </c>
      <c r="G27" s="11" t="s">
        <v>121</v>
      </c>
      <c r="H27" s="11" t="s">
        <v>11</v>
      </c>
      <c r="I27" s="11" t="s">
        <v>106</v>
      </c>
      <c r="J27" s="11"/>
    </row>
    <row r="28" customFormat="false" ht="26.85" hidden="false" customHeight="false" outlineLevel="0" collapsed="false">
      <c r="A28" s="11" t="s">
        <v>131</v>
      </c>
      <c r="B28" s="12" t="n">
        <v>20</v>
      </c>
      <c r="C28" s="11" t="s">
        <v>9</v>
      </c>
      <c r="D28" s="11" t="s">
        <v>10</v>
      </c>
      <c r="E28" s="11" t="s">
        <v>11</v>
      </c>
      <c r="F28" s="11" t="s">
        <v>14</v>
      </c>
      <c r="G28" s="11" t="s">
        <v>121</v>
      </c>
      <c r="H28" s="11" t="s">
        <v>11</v>
      </c>
      <c r="I28" s="11" t="s">
        <v>106</v>
      </c>
      <c r="J28" s="11"/>
    </row>
    <row r="29" customFormat="false" ht="26.85" hidden="false" customHeight="false" outlineLevel="0" collapsed="false">
      <c r="A29" s="11" t="s">
        <v>132</v>
      </c>
      <c r="B29" s="12" t="n">
        <v>20</v>
      </c>
      <c r="C29" s="11" t="s">
        <v>9</v>
      </c>
      <c r="D29" s="11" t="s">
        <v>10</v>
      </c>
      <c r="E29" s="11" t="s">
        <v>11</v>
      </c>
      <c r="F29" s="11" t="s">
        <v>14</v>
      </c>
      <c r="G29" s="11" t="s">
        <v>121</v>
      </c>
      <c r="H29" s="11" t="s">
        <v>11</v>
      </c>
      <c r="I29" s="11" t="s">
        <v>111</v>
      </c>
      <c r="J29" s="13" t="s">
        <v>92</v>
      </c>
    </row>
    <row r="30" customFormat="false" ht="15" hidden="false" customHeight="false" outlineLevel="0" collapsed="false">
      <c r="A30" s="3" t="s">
        <v>19</v>
      </c>
      <c r="B30" s="14" t="n">
        <v>1600</v>
      </c>
      <c r="C30" s="3" t="s">
        <v>15</v>
      </c>
      <c r="D30" s="3" t="s">
        <v>16</v>
      </c>
      <c r="E30" s="3" t="s">
        <v>17</v>
      </c>
      <c r="F30" s="3" t="s">
        <v>20</v>
      </c>
      <c r="G30" s="3" t="s">
        <v>78</v>
      </c>
      <c r="H30" s="3" t="s">
        <v>133</v>
      </c>
      <c r="I30" s="3" t="s">
        <v>111</v>
      </c>
      <c r="J30" s="3"/>
    </row>
    <row r="31" customFormat="false" ht="15" hidden="false" customHeight="false" outlineLevel="0" collapsed="false">
      <c r="A31" s="15" t="s">
        <v>134</v>
      </c>
      <c r="B31" s="16" t="n">
        <v>140</v>
      </c>
      <c r="C31" s="15" t="s">
        <v>15</v>
      </c>
      <c r="D31" s="15" t="s">
        <v>16</v>
      </c>
      <c r="E31" s="15" t="s">
        <v>17</v>
      </c>
      <c r="F31" s="15" t="s">
        <v>20</v>
      </c>
      <c r="G31" s="15" t="s">
        <v>89</v>
      </c>
      <c r="H31" s="15" t="s">
        <v>135</v>
      </c>
      <c r="I31" s="15" t="s">
        <v>111</v>
      </c>
      <c r="J31" s="15"/>
    </row>
    <row r="32" customFormat="false" ht="15" hidden="false" customHeight="false" outlineLevel="0" collapsed="false">
      <c r="A32" s="15" t="s">
        <v>136</v>
      </c>
      <c r="B32" s="16" t="n">
        <v>90</v>
      </c>
      <c r="C32" s="15" t="s">
        <v>15</v>
      </c>
      <c r="D32" s="15" t="s">
        <v>16</v>
      </c>
      <c r="E32" s="15" t="s">
        <v>17</v>
      </c>
      <c r="F32" s="15" t="s">
        <v>20</v>
      </c>
      <c r="G32" s="15" t="s">
        <v>89</v>
      </c>
      <c r="H32" s="15" t="s">
        <v>137</v>
      </c>
      <c r="I32" s="15" t="s">
        <v>111</v>
      </c>
      <c r="J32" s="15"/>
    </row>
    <row r="33" customFormat="false" ht="15" hidden="false" customHeight="false" outlineLevel="0" collapsed="false">
      <c r="A33" s="15" t="s">
        <v>138</v>
      </c>
      <c r="B33" s="16" t="n">
        <v>90</v>
      </c>
      <c r="C33" s="15" t="s">
        <v>15</v>
      </c>
      <c r="D33" s="15" t="s">
        <v>16</v>
      </c>
      <c r="E33" s="15" t="s">
        <v>17</v>
      </c>
      <c r="F33" s="15" t="s">
        <v>20</v>
      </c>
      <c r="G33" s="15" t="s">
        <v>89</v>
      </c>
      <c r="H33" s="15" t="s">
        <v>139</v>
      </c>
      <c r="I33" s="15" t="s">
        <v>111</v>
      </c>
      <c r="J33" s="15"/>
    </row>
    <row r="34" customFormat="false" ht="15" hidden="false" customHeight="false" outlineLevel="0" collapsed="false">
      <c r="A34" s="15" t="s">
        <v>140</v>
      </c>
      <c r="B34" s="16" t="n">
        <v>70</v>
      </c>
      <c r="C34" s="15" t="s">
        <v>15</v>
      </c>
      <c r="D34" s="15" t="s">
        <v>16</v>
      </c>
      <c r="E34" s="15" t="s">
        <v>17</v>
      </c>
      <c r="F34" s="15" t="s">
        <v>20</v>
      </c>
      <c r="G34" s="15" t="s">
        <v>89</v>
      </c>
      <c r="H34" s="15" t="s">
        <v>141</v>
      </c>
      <c r="I34" s="15" t="s">
        <v>106</v>
      </c>
      <c r="J34" s="15"/>
    </row>
    <row r="35" customFormat="false" ht="15" hidden="false" customHeight="false" outlineLevel="0" collapsed="false">
      <c r="A35" s="15" t="s">
        <v>142</v>
      </c>
      <c r="B35" s="16" t="n">
        <v>50</v>
      </c>
      <c r="C35" s="15" t="s">
        <v>15</v>
      </c>
      <c r="D35" s="15" t="s">
        <v>16</v>
      </c>
      <c r="E35" s="15" t="s">
        <v>17</v>
      </c>
      <c r="F35" s="15" t="s">
        <v>20</v>
      </c>
      <c r="G35" s="15" t="s">
        <v>89</v>
      </c>
      <c r="H35" s="15" t="s">
        <v>143</v>
      </c>
      <c r="I35" s="15" t="s">
        <v>111</v>
      </c>
      <c r="J35" s="15"/>
    </row>
    <row r="36" customFormat="false" ht="15" hidden="false" customHeight="false" outlineLevel="0" collapsed="false">
      <c r="A36" s="15" t="s">
        <v>144</v>
      </c>
      <c r="B36" s="16" t="n">
        <v>50</v>
      </c>
      <c r="C36" s="15" t="s">
        <v>15</v>
      </c>
      <c r="D36" s="15" t="s">
        <v>16</v>
      </c>
      <c r="E36" s="15" t="s">
        <v>17</v>
      </c>
      <c r="F36" s="15" t="s">
        <v>20</v>
      </c>
      <c r="G36" s="15" t="s">
        <v>89</v>
      </c>
      <c r="H36" s="15" t="s">
        <v>145</v>
      </c>
      <c r="I36" s="15" t="s">
        <v>146</v>
      </c>
      <c r="J36" s="15"/>
    </row>
    <row r="37" customFormat="false" ht="15" hidden="false" customHeight="false" outlineLevel="0" collapsed="false">
      <c r="A37" s="15" t="s">
        <v>147</v>
      </c>
      <c r="B37" s="16" t="n">
        <v>50</v>
      </c>
      <c r="C37" s="15" t="s">
        <v>15</v>
      </c>
      <c r="D37" s="15" t="s">
        <v>16</v>
      </c>
      <c r="E37" s="15" t="s">
        <v>17</v>
      </c>
      <c r="F37" s="15" t="s">
        <v>20</v>
      </c>
      <c r="G37" s="15" t="s">
        <v>89</v>
      </c>
      <c r="H37" s="15" t="s">
        <v>148</v>
      </c>
      <c r="I37" s="15" t="s">
        <v>106</v>
      </c>
      <c r="J37" s="15"/>
    </row>
    <row r="38" customFormat="false" ht="15" hidden="false" customHeight="false" outlineLevel="0" collapsed="false">
      <c r="A38" s="15" t="s">
        <v>149</v>
      </c>
      <c r="B38" s="16" t="n">
        <v>50</v>
      </c>
      <c r="C38" s="15" t="s">
        <v>15</v>
      </c>
      <c r="D38" s="15" t="s">
        <v>16</v>
      </c>
      <c r="E38" s="15" t="s">
        <v>17</v>
      </c>
      <c r="F38" s="15" t="s">
        <v>20</v>
      </c>
      <c r="G38" s="15" t="s">
        <v>89</v>
      </c>
      <c r="H38" s="15" t="s">
        <v>150</v>
      </c>
      <c r="I38" s="15" t="s">
        <v>151</v>
      </c>
      <c r="J38" s="15"/>
    </row>
    <row r="39" customFormat="false" ht="15" hidden="false" customHeight="false" outlineLevel="0" collapsed="false">
      <c r="A39" s="15" t="s">
        <v>152</v>
      </c>
      <c r="B39" s="16" t="n">
        <v>40</v>
      </c>
      <c r="C39" s="15" t="s">
        <v>15</v>
      </c>
      <c r="D39" s="15" t="s">
        <v>16</v>
      </c>
      <c r="E39" s="15" t="s">
        <v>17</v>
      </c>
      <c r="F39" s="15" t="s">
        <v>20</v>
      </c>
      <c r="G39" s="15" t="s">
        <v>89</v>
      </c>
      <c r="H39" s="15" t="s">
        <v>153</v>
      </c>
      <c r="I39" s="15" t="s">
        <v>111</v>
      </c>
      <c r="J39" s="15"/>
    </row>
    <row r="40" customFormat="false" ht="15" hidden="false" customHeight="false" outlineLevel="0" collapsed="false">
      <c r="A40" s="15" t="s">
        <v>154</v>
      </c>
      <c r="B40" s="16" t="n">
        <v>40</v>
      </c>
      <c r="C40" s="15" t="s">
        <v>15</v>
      </c>
      <c r="D40" s="15" t="s">
        <v>16</v>
      </c>
      <c r="E40" s="15" t="s">
        <v>17</v>
      </c>
      <c r="F40" s="15" t="s">
        <v>20</v>
      </c>
      <c r="G40" s="15" t="s">
        <v>89</v>
      </c>
      <c r="H40" s="15" t="s">
        <v>155</v>
      </c>
      <c r="I40" s="15" t="s">
        <v>106</v>
      </c>
      <c r="J40" s="15"/>
    </row>
    <row r="41" customFormat="false" ht="15" hidden="false" customHeight="false" outlineLevel="0" collapsed="false">
      <c r="A41" s="15" t="s">
        <v>156</v>
      </c>
      <c r="B41" s="16" t="n">
        <v>30</v>
      </c>
      <c r="C41" s="15" t="s">
        <v>15</v>
      </c>
      <c r="D41" s="15" t="s">
        <v>16</v>
      </c>
      <c r="E41" s="15" t="s">
        <v>17</v>
      </c>
      <c r="F41" s="15" t="s">
        <v>20</v>
      </c>
      <c r="G41" s="15" t="s">
        <v>89</v>
      </c>
      <c r="H41" s="15" t="s">
        <v>157</v>
      </c>
      <c r="I41" s="15" t="s">
        <v>111</v>
      </c>
      <c r="J41" s="15"/>
    </row>
    <row r="42" customFormat="false" ht="15" hidden="false" customHeight="false" outlineLevel="0" collapsed="false">
      <c r="A42" s="15" t="s">
        <v>158</v>
      </c>
      <c r="B42" s="16" t="n">
        <v>30</v>
      </c>
      <c r="C42" s="15" t="s">
        <v>15</v>
      </c>
      <c r="D42" s="15" t="s">
        <v>16</v>
      </c>
      <c r="E42" s="15" t="s">
        <v>17</v>
      </c>
      <c r="F42" s="15" t="s">
        <v>20</v>
      </c>
      <c r="G42" s="15" t="s">
        <v>89</v>
      </c>
      <c r="H42" s="15" t="s">
        <v>159</v>
      </c>
      <c r="I42" s="15" t="s">
        <v>111</v>
      </c>
      <c r="J42" s="15"/>
    </row>
    <row r="43" customFormat="false" ht="15" hidden="false" customHeight="false" outlineLevel="0" collapsed="false">
      <c r="A43" s="15" t="s">
        <v>160</v>
      </c>
      <c r="B43" s="16" t="n">
        <v>10</v>
      </c>
      <c r="C43" s="15" t="s">
        <v>15</v>
      </c>
      <c r="D43" s="15" t="s">
        <v>16</v>
      </c>
      <c r="E43" s="15" t="s">
        <v>17</v>
      </c>
      <c r="F43" s="15" t="s">
        <v>20</v>
      </c>
      <c r="G43" s="15" t="s">
        <v>89</v>
      </c>
      <c r="H43" s="15" t="s">
        <v>157</v>
      </c>
      <c r="I43" s="15" t="s">
        <v>106</v>
      </c>
      <c r="J43" s="15"/>
    </row>
    <row r="44" customFormat="false" ht="15" hidden="false" customHeight="false" outlineLevel="0" collapsed="false">
      <c r="A44" s="15" t="s">
        <v>161</v>
      </c>
      <c r="B44" s="16" t="n">
        <v>590</v>
      </c>
      <c r="C44" s="15" t="s">
        <v>15</v>
      </c>
      <c r="D44" s="15" t="s">
        <v>16</v>
      </c>
      <c r="E44" s="15" t="s">
        <v>17</v>
      </c>
      <c r="F44" s="15" t="s">
        <v>20</v>
      </c>
      <c r="G44" s="15" t="s">
        <v>121</v>
      </c>
      <c r="H44" s="15" t="s">
        <v>162</v>
      </c>
      <c r="I44" s="15" t="s">
        <v>111</v>
      </c>
      <c r="J44" s="15"/>
    </row>
    <row r="45" customFormat="false" ht="15" hidden="false" customHeight="false" outlineLevel="0" collapsed="false">
      <c r="A45" s="15" t="s">
        <v>163</v>
      </c>
      <c r="B45" s="16" t="n">
        <v>170</v>
      </c>
      <c r="C45" s="15" t="s">
        <v>15</v>
      </c>
      <c r="D45" s="15" t="s">
        <v>16</v>
      </c>
      <c r="E45" s="15" t="s">
        <v>17</v>
      </c>
      <c r="F45" s="15" t="s">
        <v>20</v>
      </c>
      <c r="G45" s="15" t="s">
        <v>121</v>
      </c>
      <c r="H45" s="15" t="s">
        <v>11</v>
      </c>
      <c r="I45" s="15" t="s">
        <v>106</v>
      </c>
      <c r="J45" s="15"/>
    </row>
    <row r="46" customFormat="false" ht="15" hidden="false" customHeight="false" outlineLevel="0" collapsed="false">
      <c r="A46" s="15" t="s">
        <v>164</v>
      </c>
      <c r="B46" s="16" t="n">
        <v>170</v>
      </c>
      <c r="C46" s="15" t="s">
        <v>15</v>
      </c>
      <c r="D46" s="15" t="s">
        <v>16</v>
      </c>
      <c r="E46" s="15" t="s">
        <v>17</v>
      </c>
      <c r="F46" s="15" t="s">
        <v>20</v>
      </c>
      <c r="G46" s="15" t="s">
        <v>121</v>
      </c>
      <c r="H46" s="15" t="s">
        <v>11</v>
      </c>
      <c r="I46" s="15" t="s">
        <v>106</v>
      </c>
      <c r="J46" s="15"/>
    </row>
    <row r="47" customFormat="false" ht="15" hidden="false" customHeight="false" outlineLevel="0" collapsed="false">
      <c r="A47" s="15" t="s">
        <v>165</v>
      </c>
      <c r="B47" s="16" t="n">
        <v>140</v>
      </c>
      <c r="C47" s="15" t="s">
        <v>15</v>
      </c>
      <c r="D47" s="15" t="s">
        <v>16</v>
      </c>
      <c r="E47" s="15" t="s">
        <v>17</v>
      </c>
      <c r="F47" s="15" t="s">
        <v>20</v>
      </c>
      <c r="G47" s="15" t="s">
        <v>121</v>
      </c>
      <c r="H47" s="15" t="s">
        <v>11</v>
      </c>
      <c r="I47" s="15" t="s">
        <v>106</v>
      </c>
      <c r="J47" s="15"/>
    </row>
    <row r="48" customFormat="false" ht="15" hidden="false" customHeight="false" outlineLevel="0" collapsed="false">
      <c r="A48" s="15" t="s">
        <v>166</v>
      </c>
      <c r="B48" s="16" t="n">
        <v>90</v>
      </c>
      <c r="C48" s="15" t="s">
        <v>15</v>
      </c>
      <c r="D48" s="15" t="s">
        <v>16</v>
      </c>
      <c r="E48" s="15" t="s">
        <v>17</v>
      </c>
      <c r="F48" s="15" t="s">
        <v>20</v>
      </c>
      <c r="G48" s="15" t="s">
        <v>121</v>
      </c>
      <c r="H48" s="15" t="s">
        <v>11</v>
      </c>
      <c r="I48" s="15" t="s">
        <v>106</v>
      </c>
      <c r="J48" s="15"/>
    </row>
    <row r="49" customFormat="false" ht="15" hidden="false" customHeight="false" outlineLevel="0" collapsed="false">
      <c r="A49" s="15" t="s">
        <v>167</v>
      </c>
      <c r="B49" s="16" t="n">
        <v>50</v>
      </c>
      <c r="C49" s="15" t="s">
        <v>15</v>
      </c>
      <c r="D49" s="15" t="s">
        <v>16</v>
      </c>
      <c r="E49" s="15" t="s">
        <v>17</v>
      </c>
      <c r="F49" s="15" t="s">
        <v>20</v>
      </c>
      <c r="G49" s="15" t="s">
        <v>121</v>
      </c>
      <c r="H49" s="15" t="s">
        <v>11</v>
      </c>
      <c r="I49" s="15" t="s">
        <v>106</v>
      </c>
      <c r="J49" s="15"/>
    </row>
    <row r="50" customFormat="false" ht="15" hidden="false" customHeight="false" outlineLevel="0" collapsed="false">
      <c r="A50" s="15" t="s">
        <v>168</v>
      </c>
      <c r="B50" s="16" t="n">
        <v>40</v>
      </c>
      <c r="C50" s="15" t="s">
        <v>15</v>
      </c>
      <c r="D50" s="15" t="s">
        <v>16</v>
      </c>
      <c r="E50" s="15" t="s">
        <v>17</v>
      </c>
      <c r="F50" s="15" t="s">
        <v>20</v>
      </c>
      <c r="G50" s="15" t="s">
        <v>121</v>
      </c>
      <c r="H50" s="15" t="s">
        <v>11</v>
      </c>
      <c r="I50" s="15" t="s">
        <v>106</v>
      </c>
      <c r="J50" s="15"/>
    </row>
    <row r="51" customFormat="false" ht="15" hidden="false" customHeight="false" outlineLevel="0" collapsed="false">
      <c r="A51" s="15" t="s">
        <v>169</v>
      </c>
      <c r="B51" s="16" t="n">
        <v>30</v>
      </c>
      <c r="C51" s="15" t="s">
        <v>15</v>
      </c>
      <c r="D51" s="15" t="s">
        <v>16</v>
      </c>
      <c r="E51" s="15" t="s">
        <v>17</v>
      </c>
      <c r="F51" s="15" t="s">
        <v>20</v>
      </c>
      <c r="G51" s="15" t="s">
        <v>121</v>
      </c>
      <c r="H51" s="15" t="s">
        <v>11</v>
      </c>
      <c r="I51" s="15" t="s">
        <v>106</v>
      </c>
      <c r="J51" s="15"/>
    </row>
    <row r="52" customFormat="false" ht="15" hidden="false" customHeight="false" outlineLevel="0" collapsed="false">
      <c r="A52" s="15" t="s">
        <v>170</v>
      </c>
      <c r="B52" s="16" t="n">
        <v>20</v>
      </c>
      <c r="C52" s="15" t="s">
        <v>15</v>
      </c>
      <c r="D52" s="15" t="s">
        <v>16</v>
      </c>
      <c r="E52" s="15" t="s">
        <v>17</v>
      </c>
      <c r="F52" s="15" t="s">
        <v>20</v>
      </c>
      <c r="G52" s="15" t="s">
        <v>121</v>
      </c>
      <c r="H52" s="15" t="s">
        <v>11</v>
      </c>
      <c r="I52" s="15" t="s">
        <v>106</v>
      </c>
      <c r="J52" s="15"/>
    </row>
    <row r="53" customFormat="false" ht="15" hidden="false" customHeight="false" outlineLevel="0" collapsed="false">
      <c r="A53" s="15" t="s">
        <v>171</v>
      </c>
      <c r="B53" s="16" t="n">
        <v>10</v>
      </c>
      <c r="C53" s="15" t="s">
        <v>15</v>
      </c>
      <c r="D53" s="15" t="s">
        <v>16</v>
      </c>
      <c r="E53" s="15" t="s">
        <v>17</v>
      </c>
      <c r="F53" s="15" t="s">
        <v>20</v>
      </c>
      <c r="G53" s="15" t="s">
        <v>121</v>
      </c>
      <c r="H53" s="15" t="s">
        <v>11</v>
      </c>
      <c r="I53" s="15" t="s">
        <v>106</v>
      </c>
      <c r="J53" s="15"/>
    </row>
    <row r="54" customFormat="false" ht="15" hidden="false" customHeight="false" outlineLevel="0" collapsed="false">
      <c r="A54" s="15" t="s">
        <v>172</v>
      </c>
      <c r="B54" s="16" t="n">
        <v>10</v>
      </c>
      <c r="C54" s="15" t="s">
        <v>15</v>
      </c>
      <c r="D54" s="15" t="s">
        <v>16</v>
      </c>
      <c r="E54" s="15" t="s">
        <v>17</v>
      </c>
      <c r="F54" s="15" t="s">
        <v>20</v>
      </c>
      <c r="G54" s="15" t="s">
        <v>121</v>
      </c>
      <c r="H54" s="15" t="s">
        <v>11</v>
      </c>
      <c r="I54" s="15" t="s">
        <v>106</v>
      </c>
      <c r="J54" s="15"/>
    </row>
    <row r="55" customFormat="false" ht="15" hidden="false" customHeight="false" outlineLevel="0" collapsed="false">
      <c r="A55" s="15" t="s">
        <v>173</v>
      </c>
      <c r="B55" s="16" t="n">
        <v>10</v>
      </c>
      <c r="C55" s="15" t="s">
        <v>15</v>
      </c>
      <c r="D55" s="15" t="s">
        <v>16</v>
      </c>
      <c r="E55" s="15" t="s">
        <v>17</v>
      </c>
      <c r="F55" s="15" t="s">
        <v>20</v>
      </c>
      <c r="G55" s="15" t="s">
        <v>121</v>
      </c>
      <c r="H55" s="15" t="s">
        <v>11</v>
      </c>
      <c r="I55" s="15" t="s">
        <v>106</v>
      </c>
      <c r="J55" s="15"/>
    </row>
    <row r="56" customFormat="false" ht="39.55" hidden="false" customHeight="false" outlineLevel="0" collapsed="false">
      <c r="A56" s="7" t="s">
        <v>24</v>
      </c>
      <c r="B56" s="17" t="n">
        <v>140</v>
      </c>
      <c r="C56" s="7" t="s">
        <v>21</v>
      </c>
      <c r="D56" s="7" t="s">
        <v>22</v>
      </c>
      <c r="E56" s="7" t="s">
        <v>15</v>
      </c>
      <c r="F56" s="7" t="s">
        <v>25</v>
      </c>
      <c r="G56" s="7" t="s">
        <v>78</v>
      </c>
      <c r="H56" s="7" t="s">
        <v>174</v>
      </c>
      <c r="I56" s="7" t="s">
        <v>175</v>
      </c>
      <c r="J56" s="10" t="s">
        <v>92</v>
      </c>
    </row>
    <row r="57" customFormat="false" ht="26.85" hidden="false" customHeight="false" outlineLevel="0" collapsed="false">
      <c r="A57" s="4" t="s">
        <v>176</v>
      </c>
      <c r="B57" s="18" t="n">
        <v>90</v>
      </c>
      <c r="C57" s="4" t="s">
        <v>21</v>
      </c>
      <c r="D57" s="4" t="s">
        <v>22</v>
      </c>
      <c r="E57" s="4" t="s">
        <v>15</v>
      </c>
      <c r="F57" s="4" t="s">
        <v>25</v>
      </c>
      <c r="G57" s="4" t="s">
        <v>89</v>
      </c>
      <c r="H57" s="4" t="s">
        <v>177</v>
      </c>
      <c r="I57" s="4" t="s">
        <v>178</v>
      </c>
      <c r="J57" s="13" t="s">
        <v>92</v>
      </c>
    </row>
    <row r="58" customFormat="false" ht="26.85" hidden="false" customHeight="false" outlineLevel="0" collapsed="false">
      <c r="A58" s="4" t="s">
        <v>179</v>
      </c>
      <c r="B58" s="18" t="n">
        <v>70</v>
      </c>
      <c r="C58" s="4" t="s">
        <v>21</v>
      </c>
      <c r="D58" s="4" t="s">
        <v>22</v>
      </c>
      <c r="E58" s="4" t="s">
        <v>15</v>
      </c>
      <c r="F58" s="4" t="s">
        <v>25</v>
      </c>
      <c r="G58" s="4" t="s">
        <v>89</v>
      </c>
      <c r="H58" s="4" t="s">
        <v>180</v>
      </c>
      <c r="I58" s="4" t="s">
        <v>178</v>
      </c>
      <c r="J58" s="13" t="s">
        <v>92</v>
      </c>
    </row>
    <row r="59" customFormat="false" ht="26.85" hidden="false" customHeight="false" outlineLevel="0" collapsed="false">
      <c r="A59" s="4" t="s">
        <v>181</v>
      </c>
      <c r="B59" s="18" t="n">
        <v>50</v>
      </c>
      <c r="C59" s="4" t="s">
        <v>21</v>
      </c>
      <c r="D59" s="4" t="s">
        <v>22</v>
      </c>
      <c r="E59" s="4" t="s">
        <v>15</v>
      </c>
      <c r="F59" s="4" t="s">
        <v>25</v>
      </c>
      <c r="G59" s="4" t="s">
        <v>89</v>
      </c>
      <c r="H59" s="4" t="s">
        <v>177</v>
      </c>
      <c r="I59" s="4" t="s">
        <v>182</v>
      </c>
      <c r="J59" s="13" t="s">
        <v>92</v>
      </c>
    </row>
    <row r="60" customFormat="false" ht="26.85" hidden="false" customHeight="false" outlineLevel="0" collapsed="false">
      <c r="A60" s="4" t="s">
        <v>183</v>
      </c>
      <c r="B60" s="18" t="n">
        <v>40</v>
      </c>
      <c r="C60" s="4" t="s">
        <v>21</v>
      </c>
      <c r="D60" s="4" t="s">
        <v>22</v>
      </c>
      <c r="E60" s="4" t="s">
        <v>15</v>
      </c>
      <c r="F60" s="4" t="s">
        <v>25</v>
      </c>
      <c r="G60" s="4" t="s">
        <v>89</v>
      </c>
      <c r="H60" s="4" t="s">
        <v>177</v>
      </c>
      <c r="I60" s="4" t="s">
        <v>182</v>
      </c>
      <c r="J60" s="13" t="s">
        <v>92</v>
      </c>
    </row>
    <row r="61" customFormat="false" ht="26.85" hidden="false" customHeight="false" outlineLevel="0" collapsed="false">
      <c r="A61" s="4" t="s">
        <v>184</v>
      </c>
      <c r="B61" s="18" t="n">
        <v>40</v>
      </c>
      <c r="C61" s="4" t="s">
        <v>21</v>
      </c>
      <c r="D61" s="4" t="s">
        <v>22</v>
      </c>
      <c r="E61" s="4" t="s">
        <v>15</v>
      </c>
      <c r="F61" s="4" t="s">
        <v>25</v>
      </c>
      <c r="G61" s="4" t="s">
        <v>89</v>
      </c>
      <c r="H61" s="4" t="s">
        <v>177</v>
      </c>
      <c r="I61" s="4" t="s">
        <v>182</v>
      </c>
      <c r="J61" s="13" t="s">
        <v>92</v>
      </c>
    </row>
    <row r="62" customFormat="false" ht="26.85" hidden="false" customHeight="false" outlineLevel="0" collapsed="false">
      <c r="A62" s="4" t="s">
        <v>185</v>
      </c>
      <c r="B62" s="18" t="n">
        <v>20</v>
      </c>
      <c r="C62" s="4" t="s">
        <v>21</v>
      </c>
      <c r="D62" s="4" t="s">
        <v>22</v>
      </c>
      <c r="E62" s="4" t="s">
        <v>15</v>
      </c>
      <c r="F62" s="4" t="s">
        <v>25</v>
      </c>
      <c r="G62" s="4" t="s">
        <v>89</v>
      </c>
      <c r="H62" s="4" t="s">
        <v>177</v>
      </c>
      <c r="I62" s="4" t="s">
        <v>182</v>
      </c>
      <c r="J62" s="13" t="s">
        <v>92</v>
      </c>
    </row>
    <row r="63" customFormat="false" ht="26.85" hidden="false" customHeight="false" outlineLevel="0" collapsed="false">
      <c r="A63" s="4" t="s">
        <v>186</v>
      </c>
      <c r="B63" s="18" t="n">
        <v>90</v>
      </c>
      <c r="C63" s="4" t="s">
        <v>21</v>
      </c>
      <c r="D63" s="4" t="s">
        <v>22</v>
      </c>
      <c r="E63" s="4" t="s">
        <v>15</v>
      </c>
      <c r="F63" s="4" t="s">
        <v>25</v>
      </c>
      <c r="G63" s="4" t="s">
        <v>121</v>
      </c>
      <c r="H63" s="4" t="s">
        <v>11</v>
      </c>
      <c r="I63" s="4" t="s">
        <v>178</v>
      </c>
      <c r="J63" s="13" t="s">
        <v>92</v>
      </c>
    </row>
    <row r="64" customFormat="false" ht="26.85" hidden="false" customHeight="false" outlineLevel="0" collapsed="false">
      <c r="A64" s="4" t="s">
        <v>187</v>
      </c>
      <c r="B64" s="18" t="n">
        <v>50</v>
      </c>
      <c r="C64" s="4" t="s">
        <v>21</v>
      </c>
      <c r="D64" s="4" t="s">
        <v>22</v>
      </c>
      <c r="E64" s="4" t="s">
        <v>15</v>
      </c>
      <c r="F64" s="4" t="s">
        <v>25</v>
      </c>
      <c r="G64" s="4" t="s">
        <v>121</v>
      </c>
      <c r="H64" s="4" t="s">
        <v>11</v>
      </c>
      <c r="I64" s="4" t="s">
        <v>178</v>
      </c>
      <c r="J64" s="13" t="s">
        <v>92</v>
      </c>
    </row>
    <row r="65" customFormat="false" ht="26.85" hidden="false" customHeight="false" outlineLevel="0" collapsed="false">
      <c r="A65" s="4" t="s">
        <v>188</v>
      </c>
      <c r="B65" s="18" t="n">
        <v>50</v>
      </c>
      <c r="C65" s="4" t="s">
        <v>21</v>
      </c>
      <c r="D65" s="4" t="s">
        <v>22</v>
      </c>
      <c r="E65" s="4" t="s">
        <v>15</v>
      </c>
      <c r="F65" s="4" t="s">
        <v>25</v>
      </c>
      <c r="G65" s="4" t="s">
        <v>121</v>
      </c>
      <c r="H65" s="4" t="s">
        <v>11</v>
      </c>
      <c r="I65" s="4" t="s">
        <v>182</v>
      </c>
      <c r="J65" s="13" t="s">
        <v>92</v>
      </c>
    </row>
    <row r="66" customFormat="false" ht="26.85" hidden="false" customHeight="false" outlineLevel="0" collapsed="false">
      <c r="A66" s="4" t="s">
        <v>189</v>
      </c>
      <c r="B66" s="18" t="n">
        <v>30</v>
      </c>
      <c r="C66" s="4" t="s">
        <v>21</v>
      </c>
      <c r="D66" s="4" t="s">
        <v>22</v>
      </c>
      <c r="E66" s="4" t="s">
        <v>15</v>
      </c>
      <c r="F66" s="4" t="s">
        <v>25</v>
      </c>
      <c r="G66" s="4" t="s">
        <v>121</v>
      </c>
      <c r="H66" s="4" t="s">
        <v>11</v>
      </c>
      <c r="I66" s="4" t="s">
        <v>178</v>
      </c>
      <c r="J66" s="13" t="s">
        <v>92</v>
      </c>
    </row>
    <row r="67" customFormat="false" ht="26.85" hidden="false" customHeight="false" outlineLevel="0" collapsed="false">
      <c r="A67" s="4" t="s">
        <v>190</v>
      </c>
      <c r="B67" s="18" t="n">
        <v>10</v>
      </c>
      <c r="C67" s="4" t="s">
        <v>21</v>
      </c>
      <c r="D67" s="4" t="s">
        <v>22</v>
      </c>
      <c r="E67" s="4" t="s">
        <v>15</v>
      </c>
      <c r="F67" s="4" t="s">
        <v>25</v>
      </c>
      <c r="G67" s="4" t="s">
        <v>121</v>
      </c>
      <c r="H67" s="4" t="s">
        <v>11</v>
      </c>
      <c r="I67" s="4" t="s">
        <v>178</v>
      </c>
      <c r="J67" s="13" t="s">
        <v>92</v>
      </c>
    </row>
    <row r="68" customFormat="false" ht="15" hidden="false" customHeight="false" outlineLevel="0" collapsed="false">
      <c r="A68" s="7" t="s">
        <v>27</v>
      </c>
      <c r="B68" s="17" t="n">
        <v>30</v>
      </c>
      <c r="C68" s="7" t="s">
        <v>21</v>
      </c>
      <c r="D68" s="7" t="s">
        <v>26</v>
      </c>
      <c r="E68" s="7" t="s">
        <v>15</v>
      </c>
      <c r="F68" s="7" t="s">
        <v>28</v>
      </c>
      <c r="G68" s="7" t="s">
        <v>78</v>
      </c>
      <c r="H68" s="7" t="s">
        <v>174</v>
      </c>
      <c r="I68" s="7" t="s">
        <v>191</v>
      </c>
      <c r="J68" s="7"/>
    </row>
    <row r="69" customFormat="false" ht="15" hidden="false" customHeight="false" outlineLevel="0" collapsed="false">
      <c r="A69" s="4" t="s">
        <v>192</v>
      </c>
      <c r="B69" s="18" t="n">
        <v>20</v>
      </c>
      <c r="C69" s="4" t="s">
        <v>21</v>
      </c>
      <c r="D69" s="4" t="s">
        <v>26</v>
      </c>
      <c r="E69" s="4" t="s">
        <v>15</v>
      </c>
      <c r="F69" s="4" t="s">
        <v>28</v>
      </c>
      <c r="G69" s="4" t="s">
        <v>89</v>
      </c>
      <c r="H69" s="4" t="s">
        <v>177</v>
      </c>
      <c r="I69" s="4" t="s">
        <v>193</v>
      </c>
      <c r="J69" s="4"/>
    </row>
    <row r="70" customFormat="false" ht="15" hidden="false" customHeight="false" outlineLevel="0" collapsed="false">
      <c r="A70" s="4" t="s">
        <v>194</v>
      </c>
      <c r="B70" s="18" t="n">
        <v>8100</v>
      </c>
      <c r="C70" s="4" t="s">
        <v>21</v>
      </c>
      <c r="D70" s="4" t="s">
        <v>26</v>
      </c>
      <c r="E70" s="4" t="s">
        <v>15</v>
      </c>
      <c r="F70" s="4" t="s">
        <v>28</v>
      </c>
      <c r="G70" s="4" t="s">
        <v>195</v>
      </c>
      <c r="H70" s="4" t="s">
        <v>196</v>
      </c>
      <c r="I70" s="4" t="s">
        <v>106</v>
      </c>
      <c r="J70" s="4"/>
    </row>
    <row r="71" customFormat="false" ht="15" hidden="false" customHeight="false" outlineLevel="0" collapsed="false">
      <c r="A71" s="4" t="s">
        <v>197</v>
      </c>
      <c r="B71" s="18" t="n">
        <v>4400</v>
      </c>
      <c r="C71" s="4" t="s">
        <v>21</v>
      </c>
      <c r="D71" s="4" t="s">
        <v>26</v>
      </c>
      <c r="E71" s="4" t="s">
        <v>15</v>
      </c>
      <c r="F71" s="4" t="s">
        <v>28</v>
      </c>
      <c r="G71" s="4" t="s">
        <v>195</v>
      </c>
      <c r="H71" s="4" t="s">
        <v>196</v>
      </c>
      <c r="I71" s="4" t="s">
        <v>106</v>
      </c>
      <c r="J71" s="4"/>
    </row>
    <row r="72" customFormat="false" ht="15" hidden="false" customHeight="false" outlineLevel="0" collapsed="false">
      <c r="A72" s="4" t="s">
        <v>198</v>
      </c>
      <c r="B72" s="18" t="n">
        <v>2900</v>
      </c>
      <c r="C72" s="4" t="s">
        <v>21</v>
      </c>
      <c r="D72" s="4" t="s">
        <v>26</v>
      </c>
      <c r="E72" s="4" t="s">
        <v>15</v>
      </c>
      <c r="F72" s="4" t="s">
        <v>28</v>
      </c>
      <c r="G72" s="4" t="s">
        <v>195</v>
      </c>
      <c r="H72" s="4" t="s">
        <v>196</v>
      </c>
      <c r="I72" s="4" t="s">
        <v>106</v>
      </c>
      <c r="J72" s="4"/>
    </row>
    <row r="73" customFormat="false" ht="15" hidden="false" customHeight="false" outlineLevel="0" collapsed="false">
      <c r="A73" s="4" t="s">
        <v>199</v>
      </c>
      <c r="B73" s="18" t="n">
        <v>1600</v>
      </c>
      <c r="C73" s="4" t="s">
        <v>21</v>
      </c>
      <c r="D73" s="4" t="s">
        <v>26</v>
      </c>
      <c r="E73" s="4" t="s">
        <v>15</v>
      </c>
      <c r="F73" s="4" t="s">
        <v>28</v>
      </c>
      <c r="G73" s="4" t="s">
        <v>195</v>
      </c>
      <c r="H73" s="4" t="s">
        <v>196</v>
      </c>
      <c r="I73" s="4" t="s">
        <v>106</v>
      </c>
      <c r="J73" s="4"/>
    </row>
    <row r="74" customFormat="false" ht="15" hidden="false" customHeight="false" outlineLevel="0" collapsed="false">
      <c r="A74" s="4" t="s">
        <v>200</v>
      </c>
      <c r="B74" s="18" t="n">
        <v>1600</v>
      </c>
      <c r="C74" s="4" t="s">
        <v>21</v>
      </c>
      <c r="D74" s="4" t="s">
        <v>26</v>
      </c>
      <c r="E74" s="4" t="s">
        <v>15</v>
      </c>
      <c r="F74" s="4" t="s">
        <v>28</v>
      </c>
      <c r="G74" s="4" t="s">
        <v>195</v>
      </c>
      <c r="H74" s="4" t="s">
        <v>196</v>
      </c>
      <c r="I74" s="4" t="s">
        <v>106</v>
      </c>
      <c r="J74" s="4"/>
    </row>
    <row r="75" customFormat="false" ht="15" hidden="false" customHeight="false" outlineLevel="0" collapsed="false">
      <c r="A75" s="4" t="s">
        <v>201</v>
      </c>
      <c r="B75" s="18" t="n">
        <v>390</v>
      </c>
      <c r="C75" s="4" t="s">
        <v>21</v>
      </c>
      <c r="D75" s="4" t="s">
        <v>26</v>
      </c>
      <c r="E75" s="4" t="s">
        <v>15</v>
      </c>
      <c r="F75" s="4" t="s">
        <v>28</v>
      </c>
      <c r="G75" s="4" t="s">
        <v>195</v>
      </c>
      <c r="H75" s="4" t="s">
        <v>202</v>
      </c>
      <c r="I75" s="4" t="s">
        <v>106</v>
      </c>
      <c r="J75" s="4"/>
    </row>
    <row r="76" customFormat="false" ht="15" hidden="false" customHeight="false" outlineLevel="0" collapsed="false">
      <c r="A76" s="4" t="s">
        <v>203</v>
      </c>
      <c r="B76" s="18" t="n">
        <v>210</v>
      </c>
      <c r="C76" s="4" t="s">
        <v>21</v>
      </c>
      <c r="D76" s="4" t="s">
        <v>26</v>
      </c>
      <c r="E76" s="4" t="s">
        <v>15</v>
      </c>
      <c r="F76" s="4" t="s">
        <v>28</v>
      </c>
      <c r="G76" s="4" t="s">
        <v>195</v>
      </c>
      <c r="H76" s="4" t="s">
        <v>11</v>
      </c>
      <c r="I76" s="4" t="s">
        <v>106</v>
      </c>
      <c r="J76" s="4"/>
    </row>
    <row r="77" customFormat="false" ht="15" hidden="false" customHeight="false" outlineLevel="0" collapsed="false">
      <c r="A77" s="4" t="s">
        <v>204</v>
      </c>
      <c r="B77" s="18" t="n">
        <v>90</v>
      </c>
      <c r="C77" s="4" t="s">
        <v>21</v>
      </c>
      <c r="D77" s="4" t="s">
        <v>26</v>
      </c>
      <c r="E77" s="4" t="s">
        <v>15</v>
      </c>
      <c r="F77" s="4" t="s">
        <v>28</v>
      </c>
      <c r="G77" s="4" t="s">
        <v>195</v>
      </c>
      <c r="H77" s="4" t="s">
        <v>11</v>
      </c>
      <c r="I77" s="4" t="s">
        <v>106</v>
      </c>
      <c r="J77" s="4"/>
    </row>
    <row r="78" customFormat="false" ht="15" hidden="false" customHeight="false" outlineLevel="0" collapsed="false">
      <c r="A78" s="4" t="s">
        <v>205</v>
      </c>
      <c r="B78" s="18" t="n">
        <v>20</v>
      </c>
      <c r="C78" s="4" t="s">
        <v>21</v>
      </c>
      <c r="D78" s="4" t="s">
        <v>26</v>
      </c>
      <c r="E78" s="4" t="s">
        <v>15</v>
      </c>
      <c r="F78" s="4" t="s">
        <v>28</v>
      </c>
      <c r="G78" s="4" t="s">
        <v>121</v>
      </c>
      <c r="H78" s="4" t="s">
        <v>11</v>
      </c>
      <c r="I78" s="4" t="s">
        <v>106</v>
      </c>
      <c r="J78" s="4"/>
    </row>
    <row r="79" customFormat="false" ht="15" hidden="false" customHeight="false" outlineLevel="0" collapsed="false">
      <c r="A79" s="4" t="s">
        <v>206</v>
      </c>
      <c r="B79" s="18" t="n">
        <v>20</v>
      </c>
      <c r="C79" s="4" t="s">
        <v>21</v>
      </c>
      <c r="D79" s="4" t="s">
        <v>26</v>
      </c>
      <c r="E79" s="4" t="s">
        <v>15</v>
      </c>
      <c r="F79" s="4" t="s">
        <v>28</v>
      </c>
      <c r="G79" s="4" t="s">
        <v>121</v>
      </c>
      <c r="H79" s="4" t="s">
        <v>11</v>
      </c>
      <c r="I79" s="4" t="s">
        <v>106</v>
      </c>
      <c r="J79" s="4"/>
    </row>
    <row r="80" customFormat="false" ht="15" hidden="false" customHeight="false" outlineLevel="0" collapsed="false">
      <c r="A80" s="4" t="s">
        <v>207</v>
      </c>
      <c r="B80" s="18" t="n">
        <v>20</v>
      </c>
      <c r="C80" s="4" t="s">
        <v>21</v>
      </c>
      <c r="D80" s="4" t="s">
        <v>26</v>
      </c>
      <c r="E80" s="4" t="s">
        <v>15</v>
      </c>
      <c r="F80" s="4" t="s">
        <v>28</v>
      </c>
      <c r="G80" s="4" t="s">
        <v>121</v>
      </c>
      <c r="H80" s="4" t="s">
        <v>11</v>
      </c>
      <c r="I80" s="4" t="s">
        <v>106</v>
      </c>
      <c r="J80" s="4"/>
    </row>
    <row r="81" customFormat="false" ht="15" hidden="false" customHeight="false" outlineLevel="0" collapsed="false">
      <c r="A81" s="4" t="s">
        <v>208</v>
      </c>
      <c r="B81" s="18" t="n">
        <v>20</v>
      </c>
      <c r="C81" s="4" t="s">
        <v>21</v>
      </c>
      <c r="D81" s="4" t="s">
        <v>26</v>
      </c>
      <c r="E81" s="4" t="s">
        <v>15</v>
      </c>
      <c r="F81" s="4" t="s">
        <v>28</v>
      </c>
      <c r="G81" s="4" t="s">
        <v>121</v>
      </c>
      <c r="H81" s="4" t="s">
        <v>11</v>
      </c>
      <c r="I81" s="4" t="s">
        <v>106</v>
      </c>
      <c r="J81" s="4"/>
    </row>
    <row r="82" customFormat="false" ht="39.55" hidden="false" customHeight="false" outlineLevel="0" collapsed="false">
      <c r="A82" s="7" t="s">
        <v>30</v>
      </c>
      <c r="B82" s="17" t="n">
        <v>2400</v>
      </c>
      <c r="C82" s="7" t="s">
        <v>21</v>
      </c>
      <c r="D82" s="7" t="s">
        <v>29</v>
      </c>
      <c r="E82" s="7" t="s">
        <v>15</v>
      </c>
      <c r="F82" s="7" t="s">
        <v>31</v>
      </c>
      <c r="G82" s="7" t="s">
        <v>78</v>
      </c>
      <c r="H82" s="7" t="s">
        <v>174</v>
      </c>
      <c r="I82" s="7" t="s">
        <v>209</v>
      </c>
      <c r="J82" s="7"/>
    </row>
    <row r="83" customFormat="false" ht="39.55" hidden="false" customHeight="false" outlineLevel="0" collapsed="false">
      <c r="A83" s="4" t="s">
        <v>210</v>
      </c>
      <c r="B83" s="18" t="n">
        <v>2400</v>
      </c>
      <c r="C83" s="4" t="s">
        <v>21</v>
      </c>
      <c r="D83" s="4" t="s">
        <v>29</v>
      </c>
      <c r="E83" s="4" t="s">
        <v>15</v>
      </c>
      <c r="F83" s="4" t="s">
        <v>31</v>
      </c>
      <c r="G83" s="4" t="s">
        <v>89</v>
      </c>
      <c r="H83" s="4" t="s">
        <v>177</v>
      </c>
      <c r="I83" s="4" t="s">
        <v>209</v>
      </c>
      <c r="J83" s="4"/>
    </row>
    <row r="84" customFormat="false" ht="39.55" hidden="false" customHeight="false" outlineLevel="0" collapsed="false">
      <c r="A84" s="4" t="s">
        <v>211</v>
      </c>
      <c r="B84" s="18" t="n">
        <v>2400</v>
      </c>
      <c r="C84" s="4" t="s">
        <v>21</v>
      </c>
      <c r="D84" s="4" t="s">
        <v>29</v>
      </c>
      <c r="E84" s="4" t="s">
        <v>15</v>
      </c>
      <c r="F84" s="4" t="s">
        <v>31</v>
      </c>
      <c r="G84" s="4" t="s">
        <v>89</v>
      </c>
      <c r="H84" s="4" t="s">
        <v>177</v>
      </c>
      <c r="I84" s="4" t="s">
        <v>209</v>
      </c>
      <c r="J84" s="4"/>
    </row>
    <row r="85" customFormat="false" ht="39.55" hidden="false" customHeight="false" outlineLevel="0" collapsed="false">
      <c r="A85" s="4" t="s">
        <v>212</v>
      </c>
      <c r="B85" s="18" t="n">
        <v>480</v>
      </c>
      <c r="C85" s="4" t="s">
        <v>21</v>
      </c>
      <c r="D85" s="4" t="s">
        <v>29</v>
      </c>
      <c r="E85" s="4" t="s">
        <v>15</v>
      </c>
      <c r="F85" s="4" t="s">
        <v>31</v>
      </c>
      <c r="G85" s="4" t="s">
        <v>89</v>
      </c>
      <c r="H85" s="4" t="s">
        <v>177</v>
      </c>
      <c r="I85" s="4" t="s">
        <v>209</v>
      </c>
      <c r="J85" s="4"/>
    </row>
    <row r="86" customFormat="false" ht="39.55" hidden="false" customHeight="false" outlineLevel="0" collapsed="false">
      <c r="A86" s="4" t="s">
        <v>213</v>
      </c>
      <c r="B86" s="18" t="n">
        <v>320</v>
      </c>
      <c r="C86" s="4" t="s">
        <v>21</v>
      </c>
      <c r="D86" s="4" t="s">
        <v>29</v>
      </c>
      <c r="E86" s="4" t="s">
        <v>15</v>
      </c>
      <c r="F86" s="4" t="s">
        <v>31</v>
      </c>
      <c r="G86" s="4" t="s">
        <v>89</v>
      </c>
      <c r="H86" s="4" t="s">
        <v>177</v>
      </c>
      <c r="I86" s="4" t="s">
        <v>209</v>
      </c>
      <c r="J86" s="4"/>
    </row>
    <row r="87" customFormat="false" ht="39.55" hidden="false" customHeight="false" outlineLevel="0" collapsed="false">
      <c r="A87" s="4" t="s">
        <v>214</v>
      </c>
      <c r="B87" s="18" t="n">
        <v>210</v>
      </c>
      <c r="C87" s="4" t="s">
        <v>21</v>
      </c>
      <c r="D87" s="4" t="s">
        <v>29</v>
      </c>
      <c r="E87" s="4" t="s">
        <v>15</v>
      </c>
      <c r="F87" s="4" t="s">
        <v>31</v>
      </c>
      <c r="G87" s="4" t="s">
        <v>89</v>
      </c>
      <c r="H87" s="4" t="s">
        <v>177</v>
      </c>
      <c r="I87" s="4" t="s">
        <v>209</v>
      </c>
      <c r="J87" s="4"/>
    </row>
    <row r="88" customFormat="false" ht="39.55" hidden="false" customHeight="false" outlineLevel="0" collapsed="false">
      <c r="A88" s="4" t="s">
        <v>215</v>
      </c>
      <c r="B88" s="18" t="n">
        <v>170</v>
      </c>
      <c r="C88" s="4" t="s">
        <v>21</v>
      </c>
      <c r="D88" s="4" t="s">
        <v>29</v>
      </c>
      <c r="E88" s="4" t="s">
        <v>15</v>
      </c>
      <c r="F88" s="4" t="s">
        <v>31</v>
      </c>
      <c r="G88" s="4" t="s">
        <v>89</v>
      </c>
      <c r="H88" s="4" t="s">
        <v>177</v>
      </c>
      <c r="I88" s="4" t="s">
        <v>209</v>
      </c>
      <c r="J88" s="4"/>
    </row>
    <row r="89" customFormat="false" ht="39.55" hidden="false" customHeight="false" outlineLevel="0" collapsed="false">
      <c r="A89" s="4" t="s">
        <v>216</v>
      </c>
      <c r="B89" s="18" t="n">
        <v>170</v>
      </c>
      <c r="C89" s="4" t="s">
        <v>21</v>
      </c>
      <c r="D89" s="4" t="s">
        <v>29</v>
      </c>
      <c r="E89" s="4" t="s">
        <v>15</v>
      </c>
      <c r="F89" s="4" t="s">
        <v>31</v>
      </c>
      <c r="G89" s="4" t="s">
        <v>89</v>
      </c>
      <c r="H89" s="4" t="s">
        <v>177</v>
      </c>
      <c r="I89" s="4" t="s">
        <v>209</v>
      </c>
      <c r="J89" s="4"/>
    </row>
    <row r="90" customFormat="false" ht="26.85" hidden="false" customHeight="false" outlineLevel="0" collapsed="false">
      <c r="A90" s="4" t="s">
        <v>217</v>
      </c>
      <c r="B90" s="18" t="n">
        <v>170</v>
      </c>
      <c r="C90" s="4" t="s">
        <v>21</v>
      </c>
      <c r="D90" s="4" t="s">
        <v>29</v>
      </c>
      <c r="E90" s="4" t="s">
        <v>15</v>
      </c>
      <c r="F90" s="4" t="s">
        <v>31</v>
      </c>
      <c r="G90" s="4" t="s">
        <v>89</v>
      </c>
      <c r="H90" s="4" t="s">
        <v>177</v>
      </c>
      <c r="I90" s="4" t="s">
        <v>218</v>
      </c>
      <c r="J90" s="4"/>
    </row>
    <row r="91" customFormat="false" ht="26.85" hidden="false" customHeight="false" outlineLevel="0" collapsed="false">
      <c r="A91" s="4" t="s">
        <v>219</v>
      </c>
      <c r="B91" s="18" t="n">
        <v>50</v>
      </c>
      <c r="C91" s="4" t="s">
        <v>21</v>
      </c>
      <c r="D91" s="4" t="s">
        <v>29</v>
      </c>
      <c r="E91" s="4" t="s">
        <v>15</v>
      </c>
      <c r="F91" s="4" t="s">
        <v>31</v>
      </c>
      <c r="G91" s="4" t="s">
        <v>89</v>
      </c>
      <c r="H91" s="4" t="s">
        <v>177</v>
      </c>
      <c r="I91" s="4" t="s">
        <v>220</v>
      </c>
      <c r="J91" s="13" t="s">
        <v>92</v>
      </c>
    </row>
    <row r="92" customFormat="false" ht="26.85" hidden="false" customHeight="false" outlineLevel="0" collapsed="false">
      <c r="A92" s="4" t="s">
        <v>221</v>
      </c>
      <c r="B92" s="18" t="n">
        <v>40</v>
      </c>
      <c r="C92" s="4" t="s">
        <v>21</v>
      </c>
      <c r="D92" s="4" t="s">
        <v>29</v>
      </c>
      <c r="E92" s="4" t="s">
        <v>15</v>
      </c>
      <c r="F92" s="4" t="s">
        <v>31</v>
      </c>
      <c r="G92" s="4" t="s">
        <v>89</v>
      </c>
      <c r="H92" s="4" t="s">
        <v>177</v>
      </c>
      <c r="I92" s="4" t="s">
        <v>222</v>
      </c>
      <c r="J92" s="13" t="s">
        <v>92</v>
      </c>
    </row>
    <row r="93" customFormat="false" ht="39.55" hidden="false" customHeight="false" outlineLevel="0" collapsed="false">
      <c r="A93" s="4" t="s">
        <v>223</v>
      </c>
      <c r="B93" s="18" t="n">
        <v>90</v>
      </c>
      <c r="C93" s="4" t="s">
        <v>21</v>
      </c>
      <c r="D93" s="4" t="s">
        <v>29</v>
      </c>
      <c r="E93" s="4" t="s">
        <v>15</v>
      </c>
      <c r="F93" s="4" t="s">
        <v>31</v>
      </c>
      <c r="G93" s="4" t="s">
        <v>121</v>
      </c>
      <c r="H93" s="4" t="s">
        <v>11</v>
      </c>
      <c r="I93" s="4" t="s">
        <v>209</v>
      </c>
      <c r="J93" s="4"/>
    </row>
    <row r="94" customFormat="false" ht="39.55" hidden="false" customHeight="false" outlineLevel="0" collapsed="false">
      <c r="A94" s="4" t="s">
        <v>224</v>
      </c>
      <c r="B94" s="18" t="n">
        <v>90</v>
      </c>
      <c r="C94" s="4" t="s">
        <v>21</v>
      </c>
      <c r="D94" s="4" t="s">
        <v>29</v>
      </c>
      <c r="E94" s="4" t="s">
        <v>15</v>
      </c>
      <c r="F94" s="4" t="s">
        <v>31</v>
      </c>
      <c r="G94" s="4" t="s">
        <v>121</v>
      </c>
      <c r="H94" s="4" t="s">
        <v>11</v>
      </c>
      <c r="I94" s="4" t="s">
        <v>209</v>
      </c>
      <c r="J94" s="4"/>
    </row>
    <row r="95" customFormat="false" ht="26.85" hidden="false" customHeight="false" outlineLevel="0" collapsed="false">
      <c r="A95" s="4" t="s">
        <v>225</v>
      </c>
      <c r="B95" s="18" t="n">
        <v>70</v>
      </c>
      <c r="C95" s="4" t="s">
        <v>21</v>
      </c>
      <c r="D95" s="4" t="s">
        <v>29</v>
      </c>
      <c r="E95" s="4" t="s">
        <v>15</v>
      </c>
      <c r="F95" s="4" t="s">
        <v>31</v>
      </c>
      <c r="G95" s="4" t="s">
        <v>121</v>
      </c>
      <c r="H95" s="4" t="s">
        <v>11</v>
      </c>
      <c r="I95" s="4" t="s">
        <v>226</v>
      </c>
      <c r="J95" s="13" t="s">
        <v>92</v>
      </c>
    </row>
    <row r="96" customFormat="false" ht="39.55" hidden="false" customHeight="false" outlineLevel="0" collapsed="false">
      <c r="A96" s="4" t="s">
        <v>227</v>
      </c>
      <c r="B96" s="18" t="n">
        <v>50</v>
      </c>
      <c r="C96" s="4" t="s">
        <v>21</v>
      </c>
      <c r="D96" s="4" t="s">
        <v>29</v>
      </c>
      <c r="E96" s="4" t="s">
        <v>15</v>
      </c>
      <c r="F96" s="4" t="s">
        <v>31</v>
      </c>
      <c r="G96" s="4" t="s">
        <v>121</v>
      </c>
      <c r="H96" s="4" t="s">
        <v>11</v>
      </c>
      <c r="I96" s="4" t="s">
        <v>209</v>
      </c>
      <c r="J96" s="4"/>
    </row>
    <row r="97" customFormat="false" ht="39.55" hidden="false" customHeight="false" outlineLevel="0" collapsed="false">
      <c r="A97" s="4" t="s">
        <v>228</v>
      </c>
      <c r="B97" s="18" t="n">
        <v>50</v>
      </c>
      <c r="C97" s="4" t="s">
        <v>21</v>
      </c>
      <c r="D97" s="4" t="s">
        <v>29</v>
      </c>
      <c r="E97" s="4" t="s">
        <v>15</v>
      </c>
      <c r="F97" s="4" t="s">
        <v>31</v>
      </c>
      <c r="G97" s="4" t="s">
        <v>121</v>
      </c>
      <c r="H97" s="4" t="s">
        <v>11</v>
      </c>
      <c r="I97" s="4" t="s">
        <v>209</v>
      </c>
      <c r="J97" s="4"/>
    </row>
    <row r="98" customFormat="false" ht="39.55" hidden="false" customHeight="false" outlineLevel="0" collapsed="false">
      <c r="A98" s="4" t="s">
        <v>229</v>
      </c>
      <c r="B98" s="18" t="n">
        <v>50</v>
      </c>
      <c r="C98" s="4" t="s">
        <v>21</v>
      </c>
      <c r="D98" s="4" t="s">
        <v>29</v>
      </c>
      <c r="E98" s="4" t="s">
        <v>15</v>
      </c>
      <c r="F98" s="4" t="s">
        <v>31</v>
      </c>
      <c r="G98" s="4" t="s">
        <v>121</v>
      </c>
      <c r="H98" s="4" t="s">
        <v>11</v>
      </c>
      <c r="I98" s="4" t="s">
        <v>209</v>
      </c>
      <c r="J98" s="4"/>
    </row>
    <row r="99" customFormat="false" ht="26.85" hidden="false" customHeight="false" outlineLevel="0" collapsed="false">
      <c r="A99" s="4" t="s">
        <v>230</v>
      </c>
      <c r="B99" s="18" t="n">
        <v>50</v>
      </c>
      <c r="C99" s="4" t="s">
        <v>21</v>
      </c>
      <c r="D99" s="4" t="s">
        <v>29</v>
      </c>
      <c r="E99" s="4" t="s">
        <v>15</v>
      </c>
      <c r="F99" s="4" t="s">
        <v>31</v>
      </c>
      <c r="G99" s="4" t="s">
        <v>121</v>
      </c>
      <c r="H99" s="4" t="s">
        <v>11</v>
      </c>
      <c r="I99" s="4" t="s">
        <v>220</v>
      </c>
      <c r="J99" s="13" t="s">
        <v>92</v>
      </c>
    </row>
    <row r="100" customFormat="false" ht="39.55" hidden="false" customHeight="false" outlineLevel="0" collapsed="false">
      <c r="A100" s="4" t="s">
        <v>231</v>
      </c>
      <c r="B100" s="18" t="n">
        <v>20</v>
      </c>
      <c r="C100" s="4" t="s">
        <v>21</v>
      </c>
      <c r="D100" s="4" t="s">
        <v>29</v>
      </c>
      <c r="E100" s="4" t="s">
        <v>15</v>
      </c>
      <c r="F100" s="4" t="s">
        <v>31</v>
      </c>
      <c r="G100" s="4" t="s">
        <v>121</v>
      </c>
      <c r="H100" s="4" t="s">
        <v>11</v>
      </c>
      <c r="I100" s="4" t="s">
        <v>209</v>
      </c>
      <c r="J100" s="4"/>
    </row>
    <row r="101" customFormat="false" ht="39.55" hidden="false" customHeight="false" outlineLevel="0" collapsed="false">
      <c r="A101" s="4" t="s">
        <v>232</v>
      </c>
      <c r="B101" s="18" t="n">
        <v>20</v>
      </c>
      <c r="C101" s="4" t="s">
        <v>21</v>
      </c>
      <c r="D101" s="4" t="s">
        <v>29</v>
      </c>
      <c r="E101" s="4" t="s">
        <v>15</v>
      </c>
      <c r="F101" s="4" t="s">
        <v>31</v>
      </c>
      <c r="G101" s="4" t="s">
        <v>121</v>
      </c>
      <c r="H101" s="4" t="s">
        <v>11</v>
      </c>
      <c r="I101" s="4" t="s">
        <v>209</v>
      </c>
      <c r="J101" s="4"/>
    </row>
    <row r="102" customFormat="false" ht="15" hidden="false" customHeight="false" outlineLevel="0" collapsed="false">
      <c r="A102" s="3" t="s">
        <v>35</v>
      </c>
      <c r="B102" s="14" t="n">
        <v>140</v>
      </c>
      <c r="C102" s="3" t="s">
        <v>32</v>
      </c>
      <c r="D102" s="3" t="s">
        <v>33</v>
      </c>
      <c r="E102" s="3" t="s">
        <v>17</v>
      </c>
      <c r="F102" s="3" t="s">
        <v>36</v>
      </c>
      <c r="G102" s="3" t="s">
        <v>78</v>
      </c>
      <c r="H102" s="3" t="s">
        <v>133</v>
      </c>
      <c r="I102" s="3" t="s">
        <v>111</v>
      </c>
      <c r="J102" s="3"/>
    </row>
    <row r="103" customFormat="false" ht="15" hidden="false" customHeight="false" outlineLevel="0" collapsed="false">
      <c r="A103" s="15" t="s">
        <v>233</v>
      </c>
      <c r="B103" s="16" t="n">
        <v>170</v>
      </c>
      <c r="C103" s="15" t="s">
        <v>32</v>
      </c>
      <c r="D103" s="15" t="s">
        <v>33</v>
      </c>
      <c r="E103" s="15" t="s">
        <v>17</v>
      </c>
      <c r="F103" s="15" t="s">
        <v>36</v>
      </c>
      <c r="G103" s="15" t="s">
        <v>89</v>
      </c>
      <c r="H103" s="15" t="s">
        <v>177</v>
      </c>
      <c r="I103" s="15" t="s">
        <v>234</v>
      </c>
      <c r="J103" s="15"/>
    </row>
    <row r="104" customFormat="false" ht="15" hidden="false" customHeight="false" outlineLevel="0" collapsed="false">
      <c r="A104" s="15" t="s">
        <v>235</v>
      </c>
      <c r="B104" s="16" t="n">
        <v>90</v>
      </c>
      <c r="C104" s="15" t="s">
        <v>32</v>
      </c>
      <c r="D104" s="15" t="s">
        <v>33</v>
      </c>
      <c r="E104" s="15" t="s">
        <v>17</v>
      </c>
      <c r="F104" s="15" t="s">
        <v>36</v>
      </c>
      <c r="G104" s="15" t="s">
        <v>89</v>
      </c>
      <c r="H104" s="15" t="s">
        <v>236</v>
      </c>
      <c r="I104" s="15" t="s">
        <v>106</v>
      </c>
      <c r="J104" s="15"/>
    </row>
    <row r="105" customFormat="false" ht="15" hidden="false" customHeight="false" outlineLevel="0" collapsed="false">
      <c r="A105" s="15" t="s">
        <v>237</v>
      </c>
      <c r="B105" s="16" t="n">
        <v>70</v>
      </c>
      <c r="C105" s="15" t="s">
        <v>32</v>
      </c>
      <c r="D105" s="15" t="s">
        <v>33</v>
      </c>
      <c r="E105" s="15" t="s">
        <v>17</v>
      </c>
      <c r="F105" s="15" t="s">
        <v>36</v>
      </c>
      <c r="G105" s="15" t="s">
        <v>89</v>
      </c>
      <c r="H105" s="15" t="s">
        <v>238</v>
      </c>
      <c r="I105" s="15" t="s">
        <v>106</v>
      </c>
      <c r="J105" s="15"/>
    </row>
    <row r="106" customFormat="false" ht="15" hidden="false" customHeight="false" outlineLevel="0" collapsed="false">
      <c r="A106" s="15" t="s">
        <v>239</v>
      </c>
      <c r="B106" s="16" t="n">
        <v>40</v>
      </c>
      <c r="C106" s="15" t="s">
        <v>32</v>
      </c>
      <c r="D106" s="15" t="s">
        <v>33</v>
      </c>
      <c r="E106" s="15" t="s">
        <v>17</v>
      </c>
      <c r="F106" s="15" t="s">
        <v>36</v>
      </c>
      <c r="G106" s="15" t="s">
        <v>89</v>
      </c>
      <c r="H106" s="15" t="s">
        <v>157</v>
      </c>
      <c r="I106" s="15" t="s">
        <v>111</v>
      </c>
      <c r="J106" s="15"/>
    </row>
    <row r="107" customFormat="false" ht="15" hidden="false" customHeight="false" outlineLevel="0" collapsed="false">
      <c r="A107" s="15" t="s">
        <v>240</v>
      </c>
      <c r="B107" s="16" t="n">
        <v>30</v>
      </c>
      <c r="C107" s="15" t="s">
        <v>32</v>
      </c>
      <c r="D107" s="15" t="s">
        <v>33</v>
      </c>
      <c r="E107" s="15" t="s">
        <v>17</v>
      </c>
      <c r="F107" s="15" t="s">
        <v>36</v>
      </c>
      <c r="G107" s="15" t="s">
        <v>89</v>
      </c>
      <c r="H107" s="15" t="s">
        <v>155</v>
      </c>
      <c r="I107" s="15" t="s">
        <v>106</v>
      </c>
      <c r="J107" s="15"/>
    </row>
    <row r="108" customFormat="false" ht="15" hidden="false" customHeight="false" outlineLevel="0" collapsed="false">
      <c r="A108" s="15" t="s">
        <v>241</v>
      </c>
      <c r="B108" s="16" t="n">
        <v>20</v>
      </c>
      <c r="C108" s="15" t="s">
        <v>32</v>
      </c>
      <c r="D108" s="15" t="s">
        <v>33</v>
      </c>
      <c r="E108" s="15" t="s">
        <v>17</v>
      </c>
      <c r="F108" s="15" t="s">
        <v>36</v>
      </c>
      <c r="G108" s="15" t="s">
        <v>89</v>
      </c>
      <c r="H108" s="15" t="s">
        <v>242</v>
      </c>
      <c r="I108" s="15" t="s">
        <v>111</v>
      </c>
      <c r="J108" s="15"/>
    </row>
    <row r="109" customFormat="false" ht="15" hidden="false" customHeight="false" outlineLevel="0" collapsed="false">
      <c r="A109" s="15" t="s">
        <v>243</v>
      </c>
      <c r="B109" s="16" t="n">
        <v>20</v>
      </c>
      <c r="C109" s="15" t="s">
        <v>32</v>
      </c>
      <c r="D109" s="15" t="s">
        <v>33</v>
      </c>
      <c r="E109" s="15" t="s">
        <v>17</v>
      </c>
      <c r="F109" s="15" t="s">
        <v>36</v>
      </c>
      <c r="G109" s="15" t="s">
        <v>89</v>
      </c>
      <c r="H109" s="15" t="s">
        <v>244</v>
      </c>
      <c r="I109" s="15" t="s">
        <v>111</v>
      </c>
      <c r="J109" s="15"/>
    </row>
    <row r="110" customFormat="false" ht="15" hidden="false" customHeight="false" outlineLevel="0" collapsed="false">
      <c r="A110" s="15" t="s">
        <v>245</v>
      </c>
      <c r="B110" s="16" t="n">
        <v>170</v>
      </c>
      <c r="C110" s="15" t="s">
        <v>32</v>
      </c>
      <c r="D110" s="15" t="s">
        <v>33</v>
      </c>
      <c r="E110" s="15" t="s">
        <v>17</v>
      </c>
      <c r="F110" s="15" t="s">
        <v>36</v>
      </c>
      <c r="G110" s="15" t="s">
        <v>121</v>
      </c>
      <c r="H110" s="15" t="s">
        <v>11</v>
      </c>
      <c r="I110" s="15" t="s">
        <v>106</v>
      </c>
      <c r="J110" s="15"/>
    </row>
    <row r="111" customFormat="false" ht="15" hidden="false" customHeight="false" outlineLevel="0" collapsed="false">
      <c r="A111" s="15" t="s">
        <v>246</v>
      </c>
      <c r="B111" s="16" t="n">
        <v>140</v>
      </c>
      <c r="C111" s="15" t="s">
        <v>32</v>
      </c>
      <c r="D111" s="15" t="s">
        <v>33</v>
      </c>
      <c r="E111" s="15" t="s">
        <v>17</v>
      </c>
      <c r="F111" s="15" t="s">
        <v>36</v>
      </c>
      <c r="G111" s="15" t="s">
        <v>121</v>
      </c>
      <c r="H111" s="15" t="s">
        <v>11</v>
      </c>
      <c r="I111" s="15" t="s">
        <v>106</v>
      </c>
      <c r="J111" s="15"/>
    </row>
    <row r="112" customFormat="false" ht="15" hidden="false" customHeight="false" outlineLevel="0" collapsed="false">
      <c r="A112" s="15" t="s">
        <v>247</v>
      </c>
      <c r="B112" s="16" t="n">
        <v>90</v>
      </c>
      <c r="C112" s="15" t="s">
        <v>32</v>
      </c>
      <c r="D112" s="15" t="s">
        <v>33</v>
      </c>
      <c r="E112" s="15" t="s">
        <v>17</v>
      </c>
      <c r="F112" s="15" t="s">
        <v>36</v>
      </c>
      <c r="G112" s="15" t="s">
        <v>121</v>
      </c>
      <c r="H112" s="15" t="s">
        <v>11</v>
      </c>
      <c r="I112" s="15" t="s">
        <v>106</v>
      </c>
      <c r="J112" s="15"/>
    </row>
    <row r="113" customFormat="false" ht="15" hidden="false" customHeight="false" outlineLevel="0" collapsed="false">
      <c r="A113" s="15" t="s">
        <v>248</v>
      </c>
      <c r="B113" s="16" t="n">
        <v>10</v>
      </c>
      <c r="C113" s="15" t="s">
        <v>32</v>
      </c>
      <c r="D113" s="15" t="s">
        <v>33</v>
      </c>
      <c r="E113" s="15" t="s">
        <v>17</v>
      </c>
      <c r="F113" s="15" t="s">
        <v>36</v>
      </c>
      <c r="G113" s="15" t="s">
        <v>121</v>
      </c>
      <c r="H113" s="15" t="s">
        <v>11</v>
      </c>
      <c r="I113" s="15" t="s">
        <v>106</v>
      </c>
      <c r="J113" s="15"/>
    </row>
    <row r="114" customFormat="false" ht="26.85" hidden="false" customHeight="false" outlineLevel="0" collapsed="false">
      <c r="A114" s="7" t="s">
        <v>38</v>
      </c>
      <c r="B114" s="17" t="n">
        <v>50</v>
      </c>
      <c r="C114" s="7" t="s">
        <v>21</v>
      </c>
      <c r="D114" s="7" t="s">
        <v>37</v>
      </c>
      <c r="E114" s="7" t="s">
        <v>32</v>
      </c>
      <c r="F114" s="7" t="s">
        <v>28</v>
      </c>
      <c r="G114" s="7" t="s">
        <v>78</v>
      </c>
      <c r="H114" s="7" t="s">
        <v>174</v>
      </c>
      <c r="I114" s="7" t="s">
        <v>249</v>
      </c>
      <c r="J114" s="10" t="s">
        <v>92</v>
      </c>
    </row>
    <row r="115" customFormat="false" ht="26.85" hidden="false" customHeight="false" outlineLevel="0" collapsed="false">
      <c r="A115" s="4" t="s">
        <v>250</v>
      </c>
      <c r="B115" s="18" t="n">
        <v>90</v>
      </c>
      <c r="C115" s="4" t="s">
        <v>21</v>
      </c>
      <c r="D115" s="4" t="s">
        <v>37</v>
      </c>
      <c r="E115" s="4" t="s">
        <v>32</v>
      </c>
      <c r="F115" s="4" t="s">
        <v>28</v>
      </c>
      <c r="G115" s="4" t="s">
        <v>89</v>
      </c>
      <c r="H115" s="4" t="s">
        <v>251</v>
      </c>
      <c r="I115" s="4" t="s">
        <v>252</v>
      </c>
      <c r="J115" s="13" t="s">
        <v>92</v>
      </c>
    </row>
    <row r="116" customFormat="false" ht="26.85" hidden="false" customHeight="false" outlineLevel="0" collapsed="false">
      <c r="A116" s="4" t="s">
        <v>253</v>
      </c>
      <c r="B116" s="18" t="n">
        <v>70</v>
      </c>
      <c r="C116" s="4" t="s">
        <v>21</v>
      </c>
      <c r="D116" s="4" t="s">
        <v>37</v>
      </c>
      <c r="E116" s="4" t="s">
        <v>32</v>
      </c>
      <c r="F116" s="4" t="s">
        <v>28</v>
      </c>
      <c r="G116" s="4" t="s">
        <v>121</v>
      </c>
      <c r="H116" s="4" t="s">
        <v>11</v>
      </c>
      <c r="I116" s="4" t="s">
        <v>254</v>
      </c>
      <c r="J116" s="13" t="s">
        <v>92</v>
      </c>
    </row>
    <row r="117" customFormat="false" ht="26.85" hidden="false" customHeight="false" outlineLevel="0" collapsed="false">
      <c r="A117" s="4" t="s">
        <v>255</v>
      </c>
      <c r="B117" s="18" t="n">
        <v>20</v>
      </c>
      <c r="C117" s="4" t="s">
        <v>21</v>
      </c>
      <c r="D117" s="4" t="s">
        <v>37</v>
      </c>
      <c r="E117" s="4" t="s">
        <v>32</v>
      </c>
      <c r="F117" s="4" t="s">
        <v>28</v>
      </c>
      <c r="G117" s="4" t="s">
        <v>121</v>
      </c>
      <c r="H117" s="4" t="s">
        <v>11</v>
      </c>
      <c r="I117" s="4" t="s">
        <v>226</v>
      </c>
      <c r="J117" s="13" t="s">
        <v>92</v>
      </c>
    </row>
    <row r="118" customFormat="false" ht="15" hidden="false" customHeight="false" outlineLevel="0" collapsed="false">
      <c r="A118" s="3" t="s">
        <v>42</v>
      </c>
      <c r="B118" s="14" t="n">
        <v>210</v>
      </c>
      <c r="C118" s="3" t="s">
        <v>39</v>
      </c>
      <c r="D118" s="3" t="s">
        <v>40</v>
      </c>
      <c r="E118" s="3" t="s">
        <v>17</v>
      </c>
      <c r="F118" s="3" t="s">
        <v>36</v>
      </c>
      <c r="G118" s="3" t="s">
        <v>78</v>
      </c>
      <c r="H118" s="3" t="s">
        <v>133</v>
      </c>
      <c r="I118" s="3" t="s">
        <v>111</v>
      </c>
      <c r="J118" s="3"/>
    </row>
    <row r="119" customFormat="false" ht="15" hidden="false" customHeight="false" outlineLevel="0" collapsed="false">
      <c r="A119" s="15" t="s">
        <v>256</v>
      </c>
      <c r="B119" s="16" t="n">
        <v>170</v>
      </c>
      <c r="C119" s="15" t="s">
        <v>39</v>
      </c>
      <c r="D119" s="15" t="s">
        <v>40</v>
      </c>
      <c r="E119" s="15" t="s">
        <v>17</v>
      </c>
      <c r="F119" s="15" t="s">
        <v>36</v>
      </c>
      <c r="G119" s="15" t="s">
        <v>89</v>
      </c>
      <c r="H119" s="15" t="s">
        <v>177</v>
      </c>
      <c r="I119" s="15" t="s">
        <v>106</v>
      </c>
      <c r="J119" s="15"/>
    </row>
    <row r="120" customFormat="false" ht="15" hidden="false" customHeight="false" outlineLevel="0" collapsed="false">
      <c r="A120" s="15" t="s">
        <v>257</v>
      </c>
      <c r="B120" s="16" t="n">
        <v>70</v>
      </c>
      <c r="C120" s="15" t="s">
        <v>39</v>
      </c>
      <c r="D120" s="15" t="s">
        <v>40</v>
      </c>
      <c r="E120" s="15" t="s">
        <v>17</v>
      </c>
      <c r="F120" s="15" t="s">
        <v>36</v>
      </c>
      <c r="G120" s="15" t="s">
        <v>89</v>
      </c>
      <c r="H120" s="15" t="s">
        <v>155</v>
      </c>
      <c r="I120" s="15" t="s">
        <v>106</v>
      </c>
      <c r="J120" s="15"/>
    </row>
    <row r="121" customFormat="false" ht="15" hidden="false" customHeight="false" outlineLevel="0" collapsed="false">
      <c r="A121" s="15" t="s">
        <v>258</v>
      </c>
      <c r="B121" s="16" t="n">
        <v>50</v>
      </c>
      <c r="C121" s="15" t="s">
        <v>39</v>
      </c>
      <c r="D121" s="15" t="s">
        <v>40</v>
      </c>
      <c r="E121" s="15" t="s">
        <v>17</v>
      </c>
      <c r="F121" s="15" t="s">
        <v>36</v>
      </c>
      <c r="G121" s="15" t="s">
        <v>89</v>
      </c>
      <c r="H121" s="15" t="s">
        <v>105</v>
      </c>
      <c r="I121" s="15" t="s">
        <v>259</v>
      </c>
      <c r="J121" s="15"/>
    </row>
    <row r="122" customFormat="false" ht="15" hidden="false" customHeight="false" outlineLevel="0" collapsed="false">
      <c r="A122" s="15" t="s">
        <v>260</v>
      </c>
      <c r="B122" s="16" t="n">
        <v>40</v>
      </c>
      <c r="C122" s="15" t="s">
        <v>39</v>
      </c>
      <c r="D122" s="15" t="s">
        <v>40</v>
      </c>
      <c r="E122" s="15" t="s">
        <v>17</v>
      </c>
      <c r="F122" s="15" t="s">
        <v>36</v>
      </c>
      <c r="G122" s="15" t="s">
        <v>89</v>
      </c>
      <c r="H122" s="15" t="s">
        <v>261</v>
      </c>
      <c r="I122" s="15" t="s">
        <v>106</v>
      </c>
      <c r="J122" s="15"/>
    </row>
    <row r="123" customFormat="false" ht="15" hidden="false" customHeight="false" outlineLevel="0" collapsed="false">
      <c r="A123" s="15" t="s">
        <v>262</v>
      </c>
      <c r="B123" s="16" t="n">
        <v>30</v>
      </c>
      <c r="C123" s="15" t="s">
        <v>39</v>
      </c>
      <c r="D123" s="15" t="s">
        <v>40</v>
      </c>
      <c r="E123" s="15" t="s">
        <v>17</v>
      </c>
      <c r="F123" s="15" t="s">
        <v>36</v>
      </c>
      <c r="G123" s="15" t="s">
        <v>89</v>
      </c>
      <c r="H123" s="15" t="s">
        <v>263</v>
      </c>
      <c r="I123" s="15" t="s">
        <v>111</v>
      </c>
      <c r="J123" s="15"/>
    </row>
    <row r="124" customFormat="false" ht="15" hidden="false" customHeight="false" outlineLevel="0" collapsed="false">
      <c r="A124" s="15" t="s">
        <v>264</v>
      </c>
      <c r="B124" s="16" t="n">
        <v>30</v>
      </c>
      <c r="C124" s="15" t="s">
        <v>39</v>
      </c>
      <c r="D124" s="15" t="s">
        <v>40</v>
      </c>
      <c r="E124" s="15" t="s">
        <v>17</v>
      </c>
      <c r="F124" s="15" t="s">
        <v>36</v>
      </c>
      <c r="G124" s="15" t="s">
        <v>89</v>
      </c>
      <c r="H124" s="15" t="s">
        <v>261</v>
      </c>
      <c r="I124" s="15" t="s">
        <v>111</v>
      </c>
      <c r="J124" s="15"/>
    </row>
    <row r="125" customFormat="false" ht="15" hidden="false" customHeight="false" outlineLevel="0" collapsed="false">
      <c r="A125" s="15" t="s">
        <v>265</v>
      </c>
      <c r="B125" s="16" t="n">
        <v>30</v>
      </c>
      <c r="C125" s="15" t="s">
        <v>39</v>
      </c>
      <c r="D125" s="15" t="s">
        <v>40</v>
      </c>
      <c r="E125" s="15" t="s">
        <v>17</v>
      </c>
      <c r="F125" s="15" t="s">
        <v>36</v>
      </c>
      <c r="G125" s="15" t="s">
        <v>89</v>
      </c>
      <c r="H125" s="15" t="s">
        <v>137</v>
      </c>
      <c r="I125" s="15" t="s">
        <v>111</v>
      </c>
      <c r="J125" s="15"/>
    </row>
    <row r="126" customFormat="false" ht="15" hidden="false" customHeight="false" outlineLevel="0" collapsed="false">
      <c r="A126" s="15" t="s">
        <v>266</v>
      </c>
      <c r="B126" s="16" t="n">
        <v>20</v>
      </c>
      <c r="C126" s="15" t="s">
        <v>39</v>
      </c>
      <c r="D126" s="15" t="s">
        <v>40</v>
      </c>
      <c r="E126" s="15" t="s">
        <v>17</v>
      </c>
      <c r="F126" s="15" t="s">
        <v>36</v>
      </c>
      <c r="G126" s="15" t="s">
        <v>89</v>
      </c>
      <c r="H126" s="15" t="s">
        <v>267</v>
      </c>
      <c r="I126" s="15" t="s">
        <v>106</v>
      </c>
      <c r="J126" s="15"/>
    </row>
    <row r="127" customFormat="false" ht="15" hidden="false" customHeight="false" outlineLevel="0" collapsed="false">
      <c r="A127" s="15" t="s">
        <v>268</v>
      </c>
      <c r="B127" s="16" t="n">
        <v>20</v>
      </c>
      <c r="C127" s="15" t="s">
        <v>39</v>
      </c>
      <c r="D127" s="15" t="s">
        <v>40</v>
      </c>
      <c r="E127" s="15" t="s">
        <v>17</v>
      </c>
      <c r="F127" s="15" t="s">
        <v>36</v>
      </c>
      <c r="G127" s="15" t="s">
        <v>89</v>
      </c>
      <c r="H127" s="15" t="s">
        <v>269</v>
      </c>
      <c r="I127" s="15" t="s">
        <v>111</v>
      </c>
      <c r="J127" s="15"/>
    </row>
    <row r="128" customFormat="false" ht="15" hidden="false" customHeight="false" outlineLevel="0" collapsed="false">
      <c r="A128" s="15" t="s">
        <v>270</v>
      </c>
      <c r="B128" s="16" t="n">
        <v>1300</v>
      </c>
      <c r="C128" s="15" t="s">
        <v>39</v>
      </c>
      <c r="D128" s="15" t="s">
        <v>40</v>
      </c>
      <c r="E128" s="15" t="s">
        <v>17</v>
      </c>
      <c r="F128" s="15" t="s">
        <v>36</v>
      </c>
      <c r="G128" s="15" t="s">
        <v>195</v>
      </c>
      <c r="H128" s="15" t="s">
        <v>202</v>
      </c>
      <c r="I128" s="15" t="s">
        <v>271</v>
      </c>
      <c r="J128" s="15"/>
    </row>
    <row r="129" customFormat="false" ht="15" hidden="false" customHeight="false" outlineLevel="0" collapsed="false">
      <c r="A129" s="15" t="s">
        <v>272</v>
      </c>
      <c r="B129" s="16" t="n">
        <v>880</v>
      </c>
      <c r="C129" s="15" t="s">
        <v>39</v>
      </c>
      <c r="D129" s="15" t="s">
        <v>40</v>
      </c>
      <c r="E129" s="15" t="s">
        <v>17</v>
      </c>
      <c r="F129" s="15" t="s">
        <v>36</v>
      </c>
      <c r="G129" s="15" t="s">
        <v>195</v>
      </c>
      <c r="H129" s="15" t="s">
        <v>202</v>
      </c>
      <c r="I129" s="15" t="s">
        <v>106</v>
      </c>
      <c r="J129" s="15"/>
    </row>
    <row r="130" customFormat="false" ht="15" hidden="false" customHeight="false" outlineLevel="0" collapsed="false">
      <c r="A130" s="15" t="s">
        <v>273</v>
      </c>
      <c r="B130" s="16" t="n">
        <v>720</v>
      </c>
      <c r="C130" s="15" t="s">
        <v>39</v>
      </c>
      <c r="D130" s="15" t="s">
        <v>40</v>
      </c>
      <c r="E130" s="15" t="s">
        <v>17</v>
      </c>
      <c r="F130" s="15" t="s">
        <v>36</v>
      </c>
      <c r="G130" s="15" t="s">
        <v>195</v>
      </c>
      <c r="H130" s="15" t="s">
        <v>202</v>
      </c>
      <c r="I130" s="15" t="s">
        <v>106</v>
      </c>
      <c r="J130" s="15"/>
    </row>
    <row r="131" customFormat="false" ht="15" hidden="false" customHeight="false" outlineLevel="0" collapsed="false">
      <c r="A131" s="15" t="s">
        <v>274</v>
      </c>
      <c r="B131" s="16" t="n">
        <v>320</v>
      </c>
      <c r="C131" s="15" t="s">
        <v>39</v>
      </c>
      <c r="D131" s="15" t="s">
        <v>40</v>
      </c>
      <c r="E131" s="15" t="s">
        <v>17</v>
      </c>
      <c r="F131" s="15" t="s">
        <v>36</v>
      </c>
      <c r="G131" s="15" t="s">
        <v>195</v>
      </c>
      <c r="H131" s="15" t="s">
        <v>202</v>
      </c>
      <c r="I131" s="15" t="s">
        <v>106</v>
      </c>
      <c r="J131" s="15"/>
    </row>
    <row r="132" customFormat="false" ht="15" hidden="false" customHeight="false" outlineLevel="0" collapsed="false">
      <c r="A132" s="15" t="s">
        <v>275</v>
      </c>
      <c r="B132" s="16" t="n">
        <v>50</v>
      </c>
      <c r="C132" s="15" t="s">
        <v>39</v>
      </c>
      <c r="D132" s="15" t="s">
        <v>40</v>
      </c>
      <c r="E132" s="15" t="s">
        <v>17</v>
      </c>
      <c r="F132" s="15" t="s">
        <v>36</v>
      </c>
      <c r="G132" s="15" t="s">
        <v>121</v>
      </c>
      <c r="H132" s="15" t="s">
        <v>11</v>
      </c>
      <c r="I132" s="15" t="s">
        <v>106</v>
      </c>
      <c r="J132" s="15"/>
    </row>
    <row r="133" customFormat="false" ht="15" hidden="false" customHeight="false" outlineLevel="0" collapsed="false">
      <c r="A133" s="15" t="s">
        <v>276</v>
      </c>
      <c r="B133" s="16" t="n">
        <v>50</v>
      </c>
      <c r="C133" s="15" t="s">
        <v>39</v>
      </c>
      <c r="D133" s="15" t="s">
        <v>40</v>
      </c>
      <c r="E133" s="15" t="s">
        <v>17</v>
      </c>
      <c r="F133" s="15" t="s">
        <v>36</v>
      </c>
      <c r="G133" s="15" t="s">
        <v>121</v>
      </c>
      <c r="H133" s="15" t="s">
        <v>11</v>
      </c>
      <c r="I133" s="15" t="s">
        <v>106</v>
      </c>
      <c r="J133" s="15"/>
    </row>
    <row r="134" customFormat="false" ht="15" hidden="false" customHeight="false" outlineLevel="0" collapsed="false">
      <c r="A134" s="15" t="s">
        <v>277</v>
      </c>
      <c r="B134" s="16" t="n">
        <v>50</v>
      </c>
      <c r="C134" s="15" t="s">
        <v>39</v>
      </c>
      <c r="D134" s="15" t="s">
        <v>40</v>
      </c>
      <c r="E134" s="15" t="s">
        <v>17</v>
      </c>
      <c r="F134" s="15" t="s">
        <v>36</v>
      </c>
      <c r="G134" s="15" t="s">
        <v>121</v>
      </c>
      <c r="H134" s="15" t="s">
        <v>11</v>
      </c>
      <c r="I134" s="15" t="s">
        <v>106</v>
      </c>
      <c r="J134" s="15"/>
    </row>
    <row r="135" customFormat="false" ht="15" hidden="false" customHeight="false" outlineLevel="0" collapsed="false">
      <c r="A135" s="15" t="s">
        <v>278</v>
      </c>
      <c r="B135" s="16" t="n">
        <v>50</v>
      </c>
      <c r="C135" s="15" t="s">
        <v>39</v>
      </c>
      <c r="D135" s="15" t="s">
        <v>40</v>
      </c>
      <c r="E135" s="15" t="s">
        <v>17</v>
      </c>
      <c r="F135" s="15" t="s">
        <v>36</v>
      </c>
      <c r="G135" s="15" t="s">
        <v>121</v>
      </c>
      <c r="H135" s="15" t="s">
        <v>11</v>
      </c>
      <c r="I135" s="15" t="s">
        <v>106</v>
      </c>
      <c r="J135" s="15"/>
    </row>
    <row r="136" customFormat="false" ht="15" hidden="false" customHeight="false" outlineLevel="0" collapsed="false">
      <c r="A136" s="15" t="s">
        <v>279</v>
      </c>
      <c r="B136" s="16" t="n">
        <v>50</v>
      </c>
      <c r="C136" s="15" t="s">
        <v>39</v>
      </c>
      <c r="D136" s="15" t="s">
        <v>40</v>
      </c>
      <c r="E136" s="15" t="s">
        <v>17</v>
      </c>
      <c r="F136" s="15" t="s">
        <v>36</v>
      </c>
      <c r="G136" s="15" t="s">
        <v>121</v>
      </c>
      <c r="H136" s="15" t="s">
        <v>11</v>
      </c>
      <c r="I136" s="15" t="s">
        <v>106</v>
      </c>
      <c r="J136" s="15"/>
    </row>
    <row r="137" customFormat="false" ht="15" hidden="false" customHeight="false" outlineLevel="0" collapsed="false">
      <c r="A137" s="15" t="s">
        <v>280</v>
      </c>
      <c r="B137" s="16" t="n">
        <v>50</v>
      </c>
      <c r="C137" s="15" t="s">
        <v>39</v>
      </c>
      <c r="D137" s="15" t="s">
        <v>40</v>
      </c>
      <c r="E137" s="15" t="s">
        <v>17</v>
      </c>
      <c r="F137" s="15" t="s">
        <v>36</v>
      </c>
      <c r="G137" s="15" t="s">
        <v>121</v>
      </c>
      <c r="H137" s="15" t="s">
        <v>11</v>
      </c>
      <c r="I137" s="15" t="s">
        <v>106</v>
      </c>
      <c r="J137" s="15"/>
    </row>
    <row r="138" customFormat="false" ht="15" hidden="false" customHeight="false" outlineLevel="0" collapsed="false">
      <c r="A138" s="15" t="s">
        <v>281</v>
      </c>
      <c r="B138" s="16" t="n">
        <v>50</v>
      </c>
      <c r="C138" s="15" t="s">
        <v>39</v>
      </c>
      <c r="D138" s="15" t="s">
        <v>40</v>
      </c>
      <c r="E138" s="15" t="s">
        <v>17</v>
      </c>
      <c r="F138" s="15" t="s">
        <v>36</v>
      </c>
      <c r="G138" s="15" t="s">
        <v>121</v>
      </c>
      <c r="H138" s="15" t="s">
        <v>11</v>
      </c>
      <c r="I138" s="15" t="s">
        <v>106</v>
      </c>
      <c r="J138" s="15"/>
    </row>
    <row r="139" customFormat="false" ht="15" hidden="false" customHeight="false" outlineLevel="0" collapsed="false">
      <c r="A139" s="15" t="s">
        <v>282</v>
      </c>
      <c r="B139" s="16" t="n">
        <v>50</v>
      </c>
      <c r="C139" s="15" t="s">
        <v>39</v>
      </c>
      <c r="D139" s="15" t="s">
        <v>40</v>
      </c>
      <c r="E139" s="15" t="s">
        <v>17</v>
      </c>
      <c r="F139" s="15" t="s">
        <v>36</v>
      </c>
      <c r="G139" s="15" t="s">
        <v>121</v>
      </c>
      <c r="H139" s="15" t="s">
        <v>11</v>
      </c>
      <c r="I139" s="15" t="s">
        <v>106</v>
      </c>
      <c r="J139" s="15"/>
    </row>
    <row r="140" customFormat="false" ht="15" hidden="false" customHeight="false" outlineLevel="0" collapsed="false">
      <c r="A140" s="7" t="s">
        <v>44</v>
      </c>
      <c r="B140" s="17" t="n">
        <v>260</v>
      </c>
      <c r="C140" s="7" t="s">
        <v>21</v>
      </c>
      <c r="D140" s="7" t="s">
        <v>43</v>
      </c>
      <c r="E140" s="7" t="s">
        <v>39</v>
      </c>
      <c r="F140" s="7" t="s">
        <v>25</v>
      </c>
      <c r="G140" s="7" t="s">
        <v>78</v>
      </c>
      <c r="H140" s="7" t="s">
        <v>174</v>
      </c>
      <c r="I140" s="7" t="s">
        <v>283</v>
      </c>
      <c r="J140" s="10" t="s">
        <v>92</v>
      </c>
    </row>
    <row r="141" customFormat="false" ht="15" hidden="false" customHeight="false" outlineLevel="0" collapsed="false">
      <c r="A141" s="4" t="s">
        <v>284</v>
      </c>
      <c r="B141" s="18" t="n">
        <v>140</v>
      </c>
      <c r="C141" s="4" t="s">
        <v>21</v>
      </c>
      <c r="D141" s="4" t="s">
        <v>43</v>
      </c>
      <c r="E141" s="4" t="s">
        <v>39</v>
      </c>
      <c r="F141" s="4" t="s">
        <v>25</v>
      </c>
      <c r="G141" s="4" t="s">
        <v>89</v>
      </c>
      <c r="H141" s="4" t="s">
        <v>177</v>
      </c>
      <c r="I141" s="4" t="s">
        <v>226</v>
      </c>
      <c r="J141" s="13" t="s">
        <v>92</v>
      </c>
    </row>
    <row r="142" customFormat="false" ht="15" hidden="false" customHeight="false" outlineLevel="0" collapsed="false">
      <c r="A142" s="4" t="s">
        <v>285</v>
      </c>
      <c r="B142" s="18" t="n">
        <v>30</v>
      </c>
      <c r="C142" s="4" t="s">
        <v>21</v>
      </c>
      <c r="D142" s="4" t="s">
        <v>43</v>
      </c>
      <c r="E142" s="4" t="s">
        <v>39</v>
      </c>
      <c r="F142" s="4" t="s">
        <v>25</v>
      </c>
      <c r="G142" s="4" t="s">
        <v>89</v>
      </c>
      <c r="H142" s="4" t="s">
        <v>180</v>
      </c>
      <c r="I142" s="4" t="s">
        <v>226</v>
      </c>
      <c r="J142" s="13" t="s">
        <v>92</v>
      </c>
    </row>
    <row r="143" customFormat="false" ht="15" hidden="false" customHeight="false" outlineLevel="0" collapsed="false">
      <c r="A143" s="4" t="s">
        <v>286</v>
      </c>
      <c r="B143" s="18" t="n">
        <v>140</v>
      </c>
      <c r="C143" s="4" t="s">
        <v>21</v>
      </c>
      <c r="D143" s="4" t="s">
        <v>43</v>
      </c>
      <c r="E143" s="4" t="s">
        <v>39</v>
      </c>
      <c r="F143" s="4" t="s">
        <v>25</v>
      </c>
      <c r="G143" s="4" t="s">
        <v>121</v>
      </c>
      <c r="H143" s="4" t="s">
        <v>11</v>
      </c>
      <c r="I143" s="4" t="s">
        <v>226</v>
      </c>
      <c r="J143" s="13" t="s">
        <v>92</v>
      </c>
    </row>
    <row r="144" customFormat="false" ht="39.55" hidden="false" customHeight="false" outlineLevel="0" collapsed="false">
      <c r="A144" s="7" t="s">
        <v>46</v>
      </c>
      <c r="B144" s="17" t="n">
        <v>1900</v>
      </c>
      <c r="C144" s="7" t="s">
        <v>21</v>
      </c>
      <c r="D144" s="7" t="s">
        <v>45</v>
      </c>
      <c r="E144" s="7" t="s">
        <v>39</v>
      </c>
      <c r="F144" s="7" t="s">
        <v>28</v>
      </c>
      <c r="G144" s="7" t="s">
        <v>78</v>
      </c>
      <c r="H144" s="7" t="s">
        <v>174</v>
      </c>
      <c r="I144" s="7" t="s">
        <v>287</v>
      </c>
      <c r="J144" s="7"/>
    </row>
    <row r="145" customFormat="false" ht="39.55" hidden="false" customHeight="false" outlineLevel="0" collapsed="false">
      <c r="A145" s="4" t="s">
        <v>288</v>
      </c>
      <c r="B145" s="18" t="n">
        <v>320</v>
      </c>
      <c r="C145" s="4" t="s">
        <v>21</v>
      </c>
      <c r="D145" s="4" t="s">
        <v>45</v>
      </c>
      <c r="E145" s="4" t="s">
        <v>39</v>
      </c>
      <c r="F145" s="4" t="s">
        <v>28</v>
      </c>
      <c r="G145" s="4" t="s">
        <v>89</v>
      </c>
      <c r="H145" s="4" t="s">
        <v>177</v>
      </c>
      <c r="I145" s="4" t="s">
        <v>287</v>
      </c>
      <c r="J145" s="4"/>
    </row>
    <row r="146" customFormat="false" ht="26.85" hidden="false" customHeight="false" outlineLevel="0" collapsed="false">
      <c r="A146" s="4" t="s">
        <v>289</v>
      </c>
      <c r="B146" s="18" t="n">
        <v>90</v>
      </c>
      <c r="C146" s="4" t="s">
        <v>21</v>
      </c>
      <c r="D146" s="4" t="s">
        <v>45</v>
      </c>
      <c r="E146" s="4" t="s">
        <v>39</v>
      </c>
      <c r="F146" s="4" t="s">
        <v>28</v>
      </c>
      <c r="G146" s="4" t="s">
        <v>89</v>
      </c>
      <c r="H146" s="4" t="s">
        <v>290</v>
      </c>
      <c r="I146" s="4" t="s">
        <v>291</v>
      </c>
      <c r="J146" s="13" t="s">
        <v>92</v>
      </c>
    </row>
    <row r="147" customFormat="false" ht="39.55" hidden="false" customHeight="false" outlineLevel="0" collapsed="false">
      <c r="A147" s="4" t="s">
        <v>292</v>
      </c>
      <c r="B147" s="18" t="n">
        <v>30</v>
      </c>
      <c r="C147" s="4" t="s">
        <v>21</v>
      </c>
      <c r="D147" s="4" t="s">
        <v>45</v>
      </c>
      <c r="E147" s="4" t="s">
        <v>39</v>
      </c>
      <c r="F147" s="4" t="s">
        <v>28</v>
      </c>
      <c r="G147" s="4" t="s">
        <v>89</v>
      </c>
      <c r="H147" s="4" t="s">
        <v>293</v>
      </c>
      <c r="I147" s="4" t="s">
        <v>287</v>
      </c>
      <c r="J147" s="13" t="s">
        <v>92</v>
      </c>
    </row>
    <row r="148" customFormat="false" ht="39.55" hidden="false" customHeight="false" outlineLevel="0" collapsed="false">
      <c r="A148" s="4" t="s">
        <v>294</v>
      </c>
      <c r="B148" s="18" t="n">
        <v>70</v>
      </c>
      <c r="C148" s="4" t="s">
        <v>21</v>
      </c>
      <c r="D148" s="4" t="s">
        <v>45</v>
      </c>
      <c r="E148" s="4" t="s">
        <v>39</v>
      </c>
      <c r="F148" s="4" t="s">
        <v>28</v>
      </c>
      <c r="G148" s="4" t="s">
        <v>121</v>
      </c>
      <c r="H148" s="4" t="s">
        <v>11</v>
      </c>
      <c r="I148" s="4" t="s">
        <v>287</v>
      </c>
      <c r="J148" s="4"/>
    </row>
    <row r="149" customFormat="false" ht="39.55" hidden="false" customHeight="false" outlineLevel="0" collapsed="false">
      <c r="A149" s="4" t="s">
        <v>295</v>
      </c>
      <c r="B149" s="18" t="n">
        <v>30</v>
      </c>
      <c r="C149" s="4" t="s">
        <v>21</v>
      </c>
      <c r="D149" s="4" t="s">
        <v>45</v>
      </c>
      <c r="E149" s="4" t="s">
        <v>39</v>
      </c>
      <c r="F149" s="4" t="s">
        <v>28</v>
      </c>
      <c r="G149" s="4" t="s">
        <v>121</v>
      </c>
      <c r="H149" s="4" t="s">
        <v>11</v>
      </c>
      <c r="I149" s="4" t="s">
        <v>287</v>
      </c>
      <c r="J149" s="4"/>
    </row>
    <row r="150" customFormat="false" ht="15" hidden="false" customHeight="false" outlineLevel="0" collapsed="false">
      <c r="A150" s="7" t="s">
        <v>48</v>
      </c>
      <c r="B150" s="17" t="n">
        <v>1600</v>
      </c>
      <c r="C150" s="7" t="s">
        <v>21</v>
      </c>
      <c r="D150" s="7" t="s">
        <v>47</v>
      </c>
      <c r="E150" s="7" t="s">
        <v>39</v>
      </c>
      <c r="F150" s="7" t="s">
        <v>28</v>
      </c>
      <c r="G150" s="7" t="s">
        <v>78</v>
      </c>
      <c r="H150" s="7" t="s">
        <v>174</v>
      </c>
      <c r="I150" s="7" t="s">
        <v>296</v>
      </c>
      <c r="J150" s="7"/>
    </row>
    <row r="151" customFormat="false" ht="15" hidden="false" customHeight="false" outlineLevel="0" collapsed="false">
      <c r="A151" s="7" t="s">
        <v>50</v>
      </c>
      <c r="B151" s="17" t="n">
        <v>170</v>
      </c>
      <c r="C151" s="7" t="s">
        <v>21</v>
      </c>
      <c r="D151" s="7" t="s">
        <v>49</v>
      </c>
      <c r="E151" s="7" t="s">
        <v>39</v>
      </c>
      <c r="F151" s="7" t="s">
        <v>51</v>
      </c>
      <c r="G151" s="7" t="s">
        <v>78</v>
      </c>
      <c r="H151" s="7" t="s">
        <v>174</v>
      </c>
      <c r="I151" s="7" t="s">
        <v>297</v>
      </c>
      <c r="J151" s="7"/>
    </row>
    <row r="152" customFormat="false" ht="15" hidden="false" customHeight="false" outlineLevel="0" collapsed="false">
      <c r="A152" s="4" t="s">
        <v>298</v>
      </c>
      <c r="B152" s="18" t="n">
        <v>20</v>
      </c>
      <c r="C152" s="4" t="s">
        <v>21</v>
      </c>
      <c r="D152" s="4" t="s">
        <v>49</v>
      </c>
      <c r="E152" s="4" t="s">
        <v>39</v>
      </c>
      <c r="F152" s="4" t="s">
        <v>51</v>
      </c>
      <c r="G152" s="4" t="s">
        <v>121</v>
      </c>
      <c r="H152" s="4" t="s">
        <v>11</v>
      </c>
      <c r="I152" s="4" t="s">
        <v>106</v>
      </c>
      <c r="J152" s="4"/>
    </row>
    <row r="153" customFormat="false" ht="15" hidden="false" customHeight="false" outlineLevel="0" collapsed="false">
      <c r="A153" s="3" t="s">
        <v>55</v>
      </c>
      <c r="B153" s="14" t="n">
        <v>70</v>
      </c>
      <c r="C153" s="3" t="s">
        <v>52</v>
      </c>
      <c r="D153" s="3" t="s">
        <v>53</v>
      </c>
      <c r="E153" s="3" t="s">
        <v>17</v>
      </c>
      <c r="F153" s="3" t="s">
        <v>36</v>
      </c>
      <c r="G153" s="3" t="s">
        <v>78</v>
      </c>
      <c r="H153" s="3" t="s">
        <v>133</v>
      </c>
      <c r="I153" s="3" t="s">
        <v>111</v>
      </c>
      <c r="J153" s="3"/>
    </row>
    <row r="154" customFormat="false" ht="15" hidden="false" customHeight="false" outlineLevel="0" collapsed="false">
      <c r="A154" s="15" t="s">
        <v>299</v>
      </c>
      <c r="B154" s="16" t="n">
        <v>70</v>
      </c>
      <c r="C154" s="15" t="s">
        <v>52</v>
      </c>
      <c r="D154" s="15" t="s">
        <v>53</v>
      </c>
      <c r="E154" s="15" t="s">
        <v>17</v>
      </c>
      <c r="F154" s="15" t="s">
        <v>36</v>
      </c>
      <c r="G154" s="15" t="s">
        <v>89</v>
      </c>
      <c r="H154" s="15" t="s">
        <v>177</v>
      </c>
      <c r="I154" s="15" t="s">
        <v>106</v>
      </c>
      <c r="J154" s="15"/>
    </row>
    <row r="155" customFormat="false" ht="15" hidden="false" customHeight="false" outlineLevel="0" collapsed="false">
      <c r="A155" s="5" t="s">
        <v>300</v>
      </c>
      <c r="B155" s="19" t="n">
        <v>8100</v>
      </c>
      <c r="C155" s="5" t="s">
        <v>56</v>
      </c>
      <c r="D155" s="5" t="s">
        <v>57</v>
      </c>
      <c r="E155" s="5" t="s">
        <v>11</v>
      </c>
      <c r="F155" s="5" t="s">
        <v>59</v>
      </c>
      <c r="G155" s="5" t="s">
        <v>89</v>
      </c>
      <c r="H155" s="5" t="s">
        <v>301</v>
      </c>
      <c r="I155" s="5" t="s">
        <v>111</v>
      </c>
      <c r="J155" s="5"/>
    </row>
    <row r="156" customFormat="false" ht="15" hidden="false" customHeight="false" outlineLevel="0" collapsed="false">
      <c r="A156" s="5" t="s">
        <v>302</v>
      </c>
      <c r="B156" s="19" t="n">
        <v>110</v>
      </c>
      <c r="C156" s="5" t="s">
        <v>56</v>
      </c>
      <c r="D156" s="5" t="s">
        <v>57</v>
      </c>
      <c r="E156" s="5" t="s">
        <v>11</v>
      </c>
      <c r="F156" s="5" t="s">
        <v>59</v>
      </c>
      <c r="G156" s="5" t="s">
        <v>89</v>
      </c>
      <c r="H156" s="5" t="s">
        <v>303</v>
      </c>
      <c r="I156" s="5" t="s">
        <v>106</v>
      </c>
      <c r="J156" s="5"/>
    </row>
    <row r="157" customFormat="false" ht="15" hidden="false" customHeight="false" outlineLevel="0" collapsed="false">
      <c r="A157" s="5" t="s">
        <v>304</v>
      </c>
      <c r="B157" s="19" t="n">
        <v>50</v>
      </c>
      <c r="C157" s="5" t="s">
        <v>56</v>
      </c>
      <c r="D157" s="5" t="s">
        <v>57</v>
      </c>
      <c r="E157" s="5" t="s">
        <v>11</v>
      </c>
      <c r="F157" s="5" t="s">
        <v>59</v>
      </c>
      <c r="G157" s="5" t="s">
        <v>89</v>
      </c>
      <c r="H157" s="5" t="s">
        <v>305</v>
      </c>
      <c r="I157" s="5" t="s">
        <v>106</v>
      </c>
      <c r="J157" s="5"/>
    </row>
    <row r="158" customFormat="false" ht="15" hidden="false" customHeight="false" outlineLevel="0" collapsed="false">
      <c r="A158" s="5" t="s">
        <v>306</v>
      </c>
      <c r="B158" s="19" t="n">
        <v>30</v>
      </c>
      <c r="C158" s="5" t="s">
        <v>56</v>
      </c>
      <c r="D158" s="5" t="s">
        <v>57</v>
      </c>
      <c r="E158" s="5" t="s">
        <v>11</v>
      </c>
      <c r="F158" s="5" t="s">
        <v>59</v>
      </c>
      <c r="G158" s="5" t="s">
        <v>89</v>
      </c>
      <c r="H158" s="5" t="s">
        <v>307</v>
      </c>
      <c r="I158" s="5" t="s">
        <v>111</v>
      </c>
      <c r="J158" s="5"/>
    </row>
    <row r="159" customFormat="false" ht="26.85" hidden="false" customHeight="false" outlineLevel="0" collapsed="false">
      <c r="A159" s="6" t="s">
        <v>308</v>
      </c>
      <c r="B159" s="20" t="n">
        <v>4400</v>
      </c>
      <c r="C159" s="6" t="s">
        <v>60</v>
      </c>
      <c r="D159" s="6" t="s">
        <v>61</v>
      </c>
      <c r="E159" s="6" t="s">
        <v>11</v>
      </c>
      <c r="F159" s="6" t="s">
        <v>62</v>
      </c>
      <c r="G159" s="6" t="s">
        <v>60</v>
      </c>
      <c r="H159" s="6" t="s">
        <v>309</v>
      </c>
      <c r="I159" s="6" t="s">
        <v>310</v>
      </c>
      <c r="J159" s="6"/>
    </row>
    <row r="160" customFormat="false" ht="15" hidden="false" customHeight="false" outlineLevel="0" collapsed="false">
      <c r="A160" s="6" t="s">
        <v>311</v>
      </c>
      <c r="B160" s="20" t="n">
        <v>390</v>
      </c>
      <c r="C160" s="6" t="s">
        <v>60</v>
      </c>
      <c r="D160" s="6" t="s">
        <v>61</v>
      </c>
      <c r="E160" s="6" t="s">
        <v>11</v>
      </c>
      <c r="F160" s="6" t="s">
        <v>62</v>
      </c>
      <c r="G160" s="6" t="s">
        <v>60</v>
      </c>
      <c r="H160" s="6" t="s">
        <v>11</v>
      </c>
      <c r="I160" s="6" t="s">
        <v>312</v>
      </c>
      <c r="J160" s="6"/>
    </row>
    <row r="161" customFormat="false" ht="15" hidden="false" customHeight="false" outlineLevel="0" collapsed="false">
      <c r="A161" s="6" t="s">
        <v>313</v>
      </c>
      <c r="B161" s="20" t="n">
        <v>320</v>
      </c>
      <c r="C161" s="6" t="s">
        <v>60</v>
      </c>
      <c r="D161" s="6" t="s">
        <v>61</v>
      </c>
      <c r="E161" s="6" t="s">
        <v>11</v>
      </c>
      <c r="F161" s="6" t="s">
        <v>62</v>
      </c>
      <c r="G161" s="6" t="s">
        <v>60</v>
      </c>
      <c r="H161" s="6" t="s">
        <v>11</v>
      </c>
      <c r="I161" s="6" t="s">
        <v>312</v>
      </c>
      <c r="J161" s="6"/>
    </row>
    <row r="162" customFormat="false" ht="15" hidden="false" customHeight="false" outlineLevel="0" collapsed="false">
      <c r="A162" s="6" t="s">
        <v>314</v>
      </c>
      <c r="B162" s="20" t="n">
        <v>320</v>
      </c>
      <c r="C162" s="6" t="s">
        <v>60</v>
      </c>
      <c r="D162" s="6" t="s">
        <v>61</v>
      </c>
      <c r="E162" s="6" t="s">
        <v>11</v>
      </c>
      <c r="F162" s="6" t="s">
        <v>62</v>
      </c>
      <c r="G162" s="6" t="s">
        <v>60</v>
      </c>
      <c r="H162" s="6" t="s">
        <v>315</v>
      </c>
      <c r="I162" s="6" t="s">
        <v>316</v>
      </c>
      <c r="J162" s="6"/>
    </row>
    <row r="163" customFormat="false" ht="15" hidden="false" customHeight="false" outlineLevel="0" collapsed="false">
      <c r="A163" s="6" t="s">
        <v>317</v>
      </c>
      <c r="B163" s="20" t="n">
        <v>110</v>
      </c>
      <c r="C163" s="6" t="s">
        <v>60</v>
      </c>
      <c r="D163" s="6" t="s">
        <v>61</v>
      </c>
      <c r="E163" s="6" t="s">
        <v>11</v>
      </c>
      <c r="F163" s="6" t="s">
        <v>62</v>
      </c>
      <c r="G163" s="6" t="s">
        <v>60</v>
      </c>
      <c r="H163" s="6" t="s">
        <v>11</v>
      </c>
      <c r="I163" s="6" t="s">
        <v>318</v>
      </c>
      <c r="J163" s="6"/>
    </row>
    <row r="164" customFormat="false" ht="15" hidden="false" customHeight="false" outlineLevel="0" collapsed="false">
      <c r="A164" s="6" t="s">
        <v>319</v>
      </c>
      <c r="B164" s="20" t="n">
        <v>30</v>
      </c>
      <c r="C164" s="6" t="s">
        <v>60</v>
      </c>
      <c r="D164" s="6" t="s">
        <v>61</v>
      </c>
      <c r="E164" s="6" t="s">
        <v>11</v>
      </c>
      <c r="F164" s="6" t="s">
        <v>62</v>
      </c>
      <c r="G164" s="6" t="s">
        <v>60</v>
      </c>
      <c r="H164" s="6" t="s">
        <v>11</v>
      </c>
      <c r="I164" s="6" t="s">
        <v>312</v>
      </c>
      <c r="J164" s="6"/>
    </row>
    <row r="165" customFormat="false" ht="15" hidden="false" customHeight="false" outlineLevel="0" collapsed="false">
      <c r="A165" s="6" t="s">
        <v>320</v>
      </c>
      <c r="B165" s="20" t="n">
        <v>30</v>
      </c>
      <c r="C165" s="6" t="s">
        <v>60</v>
      </c>
      <c r="D165" s="6" t="s">
        <v>61</v>
      </c>
      <c r="E165" s="6" t="s">
        <v>11</v>
      </c>
      <c r="F165" s="6" t="s">
        <v>62</v>
      </c>
      <c r="G165" s="6" t="s">
        <v>60</v>
      </c>
      <c r="H165" s="6" t="s">
        <v>11</v>
      </c>
      <c r="I165" s="6" t="s">
        <v>312</v>
      </c>
      <c r="J165" s="6"/>
    </row>
    <row r="166" customFormat="false" ht="15" hidden="false" customHeight="false" outlineLevel="0" collapsed="false">
      <c r="A166" s="6" t="s">
        <v>321</v>
      </c>
      <c r="B166" s="20" t="n">
        <v>1300</v>
      </c>
      <c r="C166" s="6" t="s">
        <v>63</v>
      </c>
      <c r="D166" s="6" t="s">
        <v>63</v>
      </c>
      <c r="E166" s="6" t="s">
        <v>11</v>
      </c>
      <c r="F166" s="6" t="s">
        <v>64</v>
      </c>
      <c r="G166" s="6" t="s">
        <v>63</v>
      </c>
      <c r="H166" s="6" t="s">
        <v>322</v>
      </c>
      <c r="I166" s="6" t="s">
        <v>323</v>
      </c>
      <c r="J166" s="6"/>
    </row>
    <row r="167" customFormat="false" ht="15" hidden="false" customHeight="false" outlineLevel="0" collapsed="false">
      <c r="A167" s="6" t="s">
        <v>324</v>
      </c>
      <c r="B167" s="20" t="n">
        <v>720</v>
      </c>
      <c r="C167" s="6" t="s">
        <v>63</v>
      </c>
      <c r="D167" s="6" t="s">
        <v>63</v>
      </c>
      <c r="E167" s="6" t="s">
        <v>11</v>
      </c>
      <c r="F167" s="6" t="s">
        <v>64</v>
      </c>
      <c r="G167" s="6" t="s">
        <v>63</v>
      </c>
      <c r="H167" s="6" t="s">
        <v>325</v>
      </c>
      <c r="I167" s="6" t="s">
        <v>106</v>
      </c>
      <c r="J167" s="6"/>
    </row>
    <row r="168" customFormat="false" ht="15" hidden="false" customHeight="false" outlineLevel="0" collapsed="false">
      <c r="A168" s="6" t="s">
        <v>326</v>
      </c>
      <c r="B168" s="20" t="n">
        <v>390</v>
      </c>
      <c r="C168" s="6" t="s">
        <v>63</v>
      </c>
      <c r="D168" s="6" t="s">
        <v>63</v>
      </c>
      <c r="E168" s="6" t="s">
        <v>11</v>
      </c>
      <c r="F168" s="6" t="s">
        <v>64</v>
      </c>
      <c r="G168" s="6" t="s">
        <v>63</v>
      </c>
      <c r="H168" s="6" t="s">
        <v>325</v>
      </c>
      <c r="I168" s="6" t="s">
        <v>106</v>
      </c>
      <c r="J168" s="6"/>
    </row>
    <row r="169" customFormat="false" ht="15" hidden="false" customHeight="false" outlineLevel="0" collapsed="false">
      <c r="A169" s="6" t="s">
        <v>327</v>
      </c>
      <c r="B169" s="20" t="n">
        <v>210</v>
      </c>
      <c r="C169" s="6" t="s">
        <v>63</v>
      </c>
      <c r="D169" s="6" t="s">
        <v>63</v>
      </c>
      <c r="E169" s="6" t="s">
        <v>11</v>
      </c>
      <c r="F169" s="6" t="s">
        <v>64</v>
      </c>
      <c r="G169" s="6" t="s">
        <v>63</v>
      </c>
      <c r="H169" s="6" t="s">
        <v>322</v>
      </c>
      <c r="I169" s="6" t="s">
        <v>323</v>
      </c>
      <c r="J169" s="6"/>
    </row>
    <row r="170" customFormat="false" ht="26.85" hidden="false" customHeight="false" outlineLevel="0" collapsed="false">
      <c r="A170" s="6" t="s">
        <v>328</v>
      </c>
      <c r="B170" s="20" t="n">
        <v>170</v>
      </c>
      <c r="C170" s="6" t="s">
        <v>63</v>
      </c>
      <c r="D170" s="6" t="s">
        <v>63</v>
      </c>
      <c r="E170" s="6" t="s">
        <v>11</v>
      </c>
      <c r="F170" s="6" t="s">
        <v>64</v>
      </c>
      <c r="G170" s="6" t="s">
        <v>63</v>
      </c>
      <c r="H170" s="6" t="s">
        <v>11</v>
      </c>
      <c r="I170" s="6" t="s">
        <v>329</v>
      </c>
      <c r="J170" s="13" t="s">
        <v>92</v>
      </c>
    </row>
    <row r="171" customFormat="false" ht="39.55" hidden="false" customHeight="false" outlineLevel="0" collapsed="false">
      <c r="A171" s="6" t="s">
        <v>330</v>
      </c>
      <c r="B171" s="20" t="n">
        <v>170</v>
      </c>
      <c r="C171" s="6" t="s">
        <v>63</v>
      </c>
      <c r="D171" s="6" t="s">
        <v>63</v>
      </c>
      <c r="E171" s="6" t="s">
        <v>11</v>
      </c>
      <c r="F171" s="6" t="s">
        <v>64</v>
      </c>
      <c r="G171" s="6" t="s">
        <v>63</v>
      </c>
      <c r="H171" s="6" t="s">
        <v>325</v>
      </c>
      <c r="I171" s="6" t="s">
        <v>106</v>
      </c>
      <c r="J171" s="6"/>
    </row>
    <row r="172" customFormat="false" ht="15" hidden="false" customHeight="false" outlineLevel="0" collapsed="false">
      <c r="A172" s="6" t="s">
        <v>331</v>
      </c>
      <c r="B172" s="20" t="n">
        <v>90</v>
      </c>
      <c r="C172" s="6" t="s">
        <v>63</v>
      </c>
      <c r="D172" s="6" t="s">
        <v>63</v>
      </c>
      <c r="E172" s="6" t="s">
        <v>11</v>
      </c>
      <c r="F172" s="6" t="s">
        <v>64</v>
      </c>
      <c r="G172" s="6" t="s">
        <v>63</v>
      </c>
      <c r="H172" s="6" t="s">
        <v>332</v>
      </c>
      <c r="I172" s="6" t="s">
        <v>333</v>
      </c>
      <c r="J172" s="6"/>
    </row>
    <row r="173" customFormat="false" ht="15" hidden="false" customHeight="false" outlineLevel="0" collapsed="false">
      <c r="A173" s="6" t="s">
        <v>334</v>
      </c>
      <c r="B173" s="20" t="n">
        <v>50</v>
      </c>
      <c r="C173" s="6" t="s">
        <v>63</v>
      </c>
      <c r="D173" s="6" t="s">
        <v>63</v>
      </c>
      <c r="E173" s="6" t="s">
        <v>11</v>
      </c>
      <c r="F173" s="6" t="s">
        <v>64</v>
      </c>
      <c r="G173" s="6" t="s">
        <v>63</v>
      </c>
      <c r="H173" s="6" t="s">
        <v>325</v>
      </c>
      <c r="I173" s="6" t="s">
        <v>106</v>
      </c>
      <c r="J173" s="6"/>
    </row>
    <row r="174" customFormat="false" ht="15" hidden="false" customHeight="false" outlineLevel="0" collapsed="false">
      <c r="A174" s="6" t="s">
        <v>335</v>
      </c>
      <c r="B174" s="20" t="n">
        <v>50</v>
      </c>
      <c r="C174" s="6" t="s">
        <v>63</v>
      </c>
      <c r="D174" s="6" t="s">
        <v>63</v>
      </c>
      <c r="E174" s="6" t="s">
        <v>11</v>
      </c>
      <c r="F174" s="6" t="s">
        <v>64</v>
      </c>
      <c r="G174" s="6" t="s">
        <v>63</v>
      </c>
      <c r="H174" s="6" t="s">
        <v>325</v>
      </c>
      <c r="I174" s="6" t="s">
        <v>106</v>
      </c>
      <c r="J174" s="6"/>
    </row>
    <row r="175" customFormat="false" ht="15" hidden="false" customHeight="false" outlineLevel="0" collapsed="false">
      <c r="A175" s="6" t="s">
        <v>336</v>
      </c>
      <c r="B175" s="20" t="n">
        <v>50</v>
      </c>
      <c r="C175" s="6" t="s">
        <v>63</v>
      </c>
      <c r="D175" s="6" t="s">
        <v>63</v>
      </c>
      <c r="E175" s="6" t="s">
        <v>11</v>
      </c>
      <c r="F175" s="6" t="s">
        <v>64</v>
      </c>
      <c r="G175" s="6" t="s">
        <v>63</v>
      </c>
      <c r="H175" s="6" t="s">
        <v>325</v>
      </c>
      <c r="I175" s="6" t="s">
        <v>106</v>
      </c>
      <c r="J175" s="6"/>
    </row>
    <row r="176" customFormat="false" ht="15" hidden="false" customHeight="false" outlineLevel="0" collapsed="false">
      <c r="A176" s="6" t="s">
        <v>337</v>
      </c>
      <c r="B176" s="20" t="n">
        <v>30</v>
      </c>
      <c r="C176" s="6" t="s">
        <v>63</v>
      </c>
      <c r="D176" s="6" t="s">
        <v>63</v>
      </c>
      <c r="E176" s="6" t="s">
        <v>11</v>
      </c>
      <c r="F176" s="6" t="s">
        <v>64</v>
      </c>
      <c r="G176" s="6" t="s">
        <v>63</v>
      </c>
      <c r="H176" s="6" t="s">
        <v>325</v>
      </c>
      <c r="I176" s="6" t="s">
        <v>106</v>
      </c>
      <c r="J176" s="6"/>
    </row>
    <row r="177" customFormat="false" ht="15" hidden="false" customHeight="false" outlineLevel="0" collapsed="false">
      <c r="A177" s="6" t="s">
        <v>338</v>
      </c>
      <c r="B177" s="20" t="n">
        <v>20</v>
      </c>
      <c r="C177" s="6" t="s">
        <v>63</v>
      </c>
      <c r="D177" s="6" t="s">
        <v>63</v>
      </c>
      <c r="E177" s="6" t="s">
        <v>11</v>
      </c>
      <c r="F177" s="6" t="s">
        <v>64</v>
      </c>
      <c r="G177" s="6" t="s">
        <v>63</v>
      </c>
      <c r="H177" s="6" t="s">
        <v>11</v>
      </c>
      <c r="I177" s="6" t="s">
        <v>339</v>
      </c>
      <c r="J177" s="13" t="s">
        <v>92</v>
      </c>
    </row>
    <row r="178" customFormat="false" ht="15" hidden="false" customHeight="false" outlineLevel="0" collapsed="false">
      <c r="A178" s="6" t="s">
        <v>340</v>
      </c>
      <c r="B178" s="20" t="n">
        <v>20</v>
      </c>
      <c r="C178" s="6" t="s">
        <v>63</v>
      </c>
      <c r="D178" s="6" t="s">
        <v>63</v>
      </c>
      <c r="E178" s="6" t="s">
        <v>11</v>
      </c>
      <c r="F178" s="6" t="s">
        <v>64</v>
      </c>
      <c r="G178" s="6" t="s">
        <v>63</v>
      </c>
      <c r="H178" s="6" t="s">
        <v>11</v>
      </c>
      <c r="I178" s="6" t="s">
        <v>341</v>
      </c>
      <c r="J178" s="13" t="s">
        <v>92</v>
      </c>
    </row>
    <row r="179" customFormat="false" ht="15" hidden="false" customHeight="false" outlineLevel="0" collapsed="false">
      <c r="A179" s="6" t="s">
        <v>342</v>
      </c>
      <c r="B179" s="20" t="n">
        <v>10</v>
      </c>
      <c r="C179" s="6" t="s">
        <v>63</v>
      </c>
      <c r="D179" s="6" t="s">
        <v>63</v>
      </c>
      <c r="E179" s="6" t="s">
        <v>11</v>
      </c>
      <c r="F179" s="6" t="s">
        <v>64</v>
      </c>
      <c r="G179" s="6" t="s">
        <v>63</v>
      </c>
      <c r="H179" s="6" t="s">
        <v>11</v>
      </c>
      <c r="I179" s="6" t="s">
        <v>343</v>
      </c>
      <c r="J179" s="13" t="s">
        <v>92</v>
      </c>
    </row>
    <row r="180" customFormat="false" ht="15" hidden="false" customHeight="false" outlineLevel="0" collapsed="false">
      <c r="A180" s="6" t="s">
        <v>344</v>
      </c>
      <c r="B180" s="20" t="n">
        <v>10</v>
      </c>
      <c r="C180" s="6" t="s">
        <v>63</v>
      </c>
      <c r="D180" s="6" t="s">
        <v>63</v>
      </c>
      <c r="E180" s="6" t="s">
        <v>11</v>
      </c>
      <c r="F180" s="6" t="s">
        <v>64</v>
      </c>
      <c r="G180" s="6" t="s">
        <v>63</v>
      </c>
      <c r="H180" s="6" t="s">
        <v>11</v>
      </c>
      <c r="I180" s="6" t="s">
        <v>343</v>
      </c>
      <c r="J180" s="13" t="s">
        <v>92</v>
      </c>
    </row>
    <row r="181" customFormat="false" ht="15" hidden="false" customHeight="false" outlineLevel="0" collapsed="false">
      <c r="A181" s="6" t="s">
        <v>345</v>
      </c>
      <c r="B181" s="20" t="n">
        <v>10</v>
      </c>
      <c r="C181" s="6" t="s">
        <v>63</v>
      </c>
      <c r="D181" s="6" t="s">
        <v>63</v>
      </c>
      <c r="E181" s="6" t="s">
        <v>11</v>
      </c>
      <c r="F181" s="6" t="s">
        <v>64</v>
      </c>
      <c r="G181" s="6" t="s">
        <v>63</v>
      </c>
      <c r="H181" s="6" t="s">
        <v>11</v>
      </c>
      <c r="I181" s="6" t="s">
        <v>343</v>
      </c>
      <c r="J181" s="13" t="s">
        <v>92</v>
      </c>
    </row>
    <row r="182" customFormat="false" ht="15" hidden="false" customHeight="false" outlineLevel="0" collapsed="false">
      <c r="A182" s="6" t="s">
        <v>346</v>
      </c>
      <c r="B182" s="20" t="n">
        <v>10</v>
      </c>
      <c r="C182" s="6" t="s">
        <v>63</v>
      </c>
      <c r="D182" s="6" t="s">
        <v>63</v>
      </c>
      <c r="E182" s="6" t="s">
        <v>11</v>
      </c>
      <c r="F182" s="6" t="s">
        <v>64</v>
      </c>
      <c r="G182" s="6" t="s">
        <v>63</v>
      </c>
      <c r="H182" s="6" t="s">
        <v>325</v>
      </c>
      <c r="I182" s="6" t="s">
        <v>106</v>
      </c>
      <c r="J182" s="6"/>
    </row>
  </sheetData>
  <autoFilter ref="A1:J1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1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347</v>
      </c>
    </row>
    <row r="2" customFormat="false" ht="26.85" hidden="false" customHeight="false" outlineLevel="0" collapsed="false">
      <c r="A2" s="2" t="s">
        <v>10</v>
      </c>
      <c r="B2" s="2" t="s">
        <v>9</v>
      </c>
      <c r="C2" s="2" t="s">
        <v>77</v>
      </c>
      <c r="D2" s="2" t="n">
        <v>2400</v>
      </c>
      <c r="E2" s="2" t="s">
        <v>78</v>
      </c>
      <c r="F2" s="2" t="s">
        <v>79</v>
      </c>
      <c r="G2" s="10" t="s">
        <v>81</v>
      </c>
    </row>
    <row r="3" customFormat="false" ht="15" hidden="false" customHeight="false" outlineLevel="0" collapsed="false">
      <c r="A3" s="2" t="s">
        <v>10</v>
      </c>
      <c r="B3" s="2" t="s">
        <v>9</v>
      </c>
      <c r="C3" s="2" t="s">
        <v>82</v>
      </c>
      <c r="D3" s="2" t="n">
        <v>2400</v>
      </c>
      <c r="E3" s="2" t="s">
        <v>78</v>
      </c>
      <c r="F3" s="2" t="s">
        <v>83</v>
      </c>
      <c r="G3" s="2"/>
    </row>
    <row r="4" customFormat="false" ht="26.85" hidden="false" customHeight="false" outlineLevel="0" collapsed="false">
      <c r="A4" s="2" t="s">
        <v>10</v>
      </c>
      <c r="B4" s="2" t="s">
        <v>9</v>
      </c>
      <c r="C4" s="2" t="s">
        <v>85</v>
      </c>
      <c r="D4" s="2" t="n">
        <v>2400</v>
      </c>
      <c r="E4" s="2" t="s">
        <v>86</v>
      </c>
      <c r="F4" s="2" t="s">
        <v>87</v>
      </c>
      <c r="G4" s="2"/>
    </row>
    <row r="5" customFormat="false" ht="15" hidden="false" customHeight="false" outlineLevel="0" collapsed="false">
      <c r="A5" s="11" t="s">
        <v>10</v>
      </c>
      <c r="B5" s="11" t="s">
        <v>9</v>
      </c>
      <c r="C5" s="11" t="s">
        <v>88</v>
      </c>
      <c r="D5" s="11" t="n">
        <v>1300</v>
      </c>
      <c r="E5" s="11" t="s">
        <v>89</v>
      </c>
      <c r="F5" s="11" t="s">
        <v>90</v>
      </c>
      <c r="G5" s="13" t="s">
        <v>92</v>
      </c>
    </row>
    <row r="6" customFormat="false" ht="15" hidden="false" customHeight="false" outlineLevel="0" collapsed="false">
      <c r="A6" s="11" t="s">
        <v>10</v>
      </c>
      <c r="B6" s="11" t="s">
        <v>9</v>
      </c>
      <c r="C6" s="11" t="s">
        <v>93</v>
      </c>
      <c r="D6" s="11" t="n">
        <v>720</v>
      </c>
      <c r="E6" s="11" t="s">
        <v>89</v>
      </c>
      <c r="F6" s="11" t="s">
        <v>94</v>
      </c>
      <c r="G6" s="13" t="s">
        <v>92</v>
      </c>
    </row>
    <row r="7" customFormat="false" ht="15" hidden="false" customHeight="false" outlineLevel="0" collapsed="false">
      <c r="A7" s="11" t="s">
        <v>10</v>
      </c>
      <c r="B7" s="11" t="s">
        <v>9</v>
      </c>
      <c r="C7" s="11" t="s">
        <v>96</v>
      </c>
      <c r="D7" s="11" t="n">
        <v>390</v>
      </c>
      <c r="E7" s="11" t="s">
        <v>89</v>
      </c>
      <c r="F7" s="11" t="s">
        <v>97</v>
      </c>
      <c r="G7" s="11"/>
    </row>
    <row r="8" customFormat="false" ht="26.85" hidden="false" customHeight="false" outlineLevel="0" collapsed="false">
      <c r="A8" s="11" t="s">
        <v>10</v>
      </c>
      <c r="B8" s="11" t="s">
        <v>9</v>
      </c>
      <c r="C8" s="11" t="s">
        <v>99</v>
      </c>
      <c r="D8" s="11" t="n">
        <v>390</v>
      </c>
      <c r="E8" s="11" t="s">
        <v>89</v>
      </c>
      <c r="F8" s="11" t="s">
        <v>100</v>
      </c>
      <c r="G8" s="11"/>
    </row>
    <row r="9" customFormat="false" ht="15" hidden="false" customHeight="false" outlineLevel="0" collapsed="false">
      <c r="A9" s="11" t="s">
        <v>10</v>
      </c>
      <c r="B9" s="11" t="s">
        <v>9</v>
      </c>
      <c r="C9" s="11" t="s">
        <v>101</v>
      </c>
      <c r="D9" s="11" t="n">
        <v>390</v>
      </c>
      <c r="E9" s="11" t="s">
        <v>89</v>
      </c>
      <c r="F9" s="11" t="s">
        <v>102</v>
      </c>
      <c r="G9" s="13" t="s">
        <v>92</v>
      </c>
    </row>
    <row r="10" customFormat="false" ht="15" hidden="false" customHeight="false" outlineLevel="0" collapsed="false">
      <c r="A10" s="11" t="s">
        <v>10</v>
      </c>
      <c r="B10" s="11" t="s">
        <v>9</v>
      </c>
      <c r="C10" s="11" t="s">
        <v>104</v>
      </c>
      <c r="D10" s="11" t="n">
        <v>320</v>
      </c>
      <c r="E10" s="11" t="s">
        <v>89</v>
      </c>
      <c r="F10" s="11" t="s">
        <v>105</v>
      </c>
      <c r="G10" s="11"/>
    </row>
    <row r="11" customFormat="false" ht="26.85" hidden="false" customHeight="false" outlineLevel="0" collapsed="false">
      <c r="A11" s="11" t="s">
        <v>10</v>
      </c>
      <c r="B11" s="11" t="s">
        <v>9</v>
      </c>
      <c r="C11" s="11" t="s">
        <v>107</v>
      </c>
      <c r="D11" s="11" t="n">
        <v>320</v>
      </c>
      <c r="E11" s="11" t="s">
        <v>89</v>
      </c>
      <c r="F11" s="11" t="s">
        <v>108</v>
      </c>
      <c r="G11" s="11"/>
    </row>
    <row r="12" customFormat="false" ht="15" hidden="false" customHeight="false" outlineLevel="0" collapsed="false">
      <c r="A12" s="11" t="s">
        <v>10</v>
      </c>
      <c r="B12" s="11" t="s">
        <v>9</v>
      </c>
      <c r="C12" s="11" t="s">
        <v>109</v>
      </c>
      <c r="D12" s="11" t="n">
        <v>110</v>
      </c>
      <c r="E12" s="11" t="s">
        <v>89</v>
      </c>
      <c r="F12" s="11" t="s">
        <v>110</v>
      </c>
      <c r="G12" s="13" t="s">
        <v>92</v>
      </c>
    </row>
    <row r="13" customFormat="false" ht="15" hidden="false" customHeight="false" outlineLevel="0" collapsed="false">
      <c r="A13" s="11" t="s">
        <v>10</v>
      </c>
      <c r="B13" s="11" t="s">
        <v>9</v>
      </c>
      <c r="C13" s="11" t="s">
        <v>112</v>
      </c>
      <c r="D13" s="11" t="n">
        <v>90</v>
      </c>
      <c r="E13" s="11" t="s">
        <v>89</v>
      </c>
      <c r="F13" s="11" t="s">
        <v>97</v>
      </c>
      <c r="G13" s="11"/>
    </row>
    <row r="14" customFormat="false" ht="15" hidden="false" customHeight="false" outlineLevel="0" collapsed="false">
      <c r="A14" s="11" t="s">
        <v>10</v>
      </c>
      <c r="B14" s="11" t="s">
        <v>9</v>
      </c>
      <c r="C14" s="11" t="s">
        <v>113</v>
      </c>
      <c r="D14" s="11" t="n">
        <v>70</v>
      </c>
      <c r="E14" s="11" t="s">
        <v>89</v>
      </c>
      <c r="F14" s="11" t="s">
        <v>97</v>
      </c>
      <c r="G14" s="11"/>
    </row>
    <row r="15" customFormat="false" ht="15" hidden="false" customHeight="false" outlineLevel="0" collapsed="false">
      <c r="A15" s="11" t="s">
        <v>10</v>
      </c>
      <c r="B15" s="11" t="s">
        <v>9</v>
      </c>
      <c r="C15" s="11" t="s">
        <v>114</v>
      </c>
      <c r="D15" s="11" t="n">
        <v>40</v>
      </c>
      <c r="E15" s="11" t="s">
        <v>89</v>
      </c>
      <c r="F15" s="11" t="s">
        <v>97</v>
      </c>
      <c r="G15" s="11"/>
    </row>
    <row r="16" customFormat="false" ht="15" hidden="false" customHeight="false" outlineLevel="0" collapsed="false">
      <c r="A16" s="11" t="s">
        <v>10</v>
      </c>
      <c r="B16" s="11" t="s">
        <v>9</v>
      </c>
      <c r="C16" s="11" t="s">
        <v>115</v>
      </c>
      <c r="D16" s="11" t="n">
        <v>30</v>
      </c>
      <c r="E16" s="11" t="s">
        <v>89</v>
      </c>
      <c r="F16" s="11" t="s">
        <v>87</v>
      </c>
      <c r="G16" s="11"/>
    </row>
    <row r="17" customFormat="false" ht="15" hidden="false" customHeight="false" outlineLevel="0" collapsed="false">
      <c r="A17" s="11" t="s">
        <v>10</v>
      </c>
      <c r="B17" s="11" t="s">
        <v>9</v>
      </c>
      <c r="C17" s="11" t="s">
        <v>116</v>
      </c>
      <c r="D17" s="11" t="n">
        <v>30</v>
      </c>
      <c r="E17" s="11" t="s">
        <v>89</v>
      </c>
      <c r="F17" s="11" t="s">
        <v>102</v>
      </c>
      <c r="G17" s="13" t="s">
        <v>92</v>
      </c>
    </row>
    <row r="18" customFormat="false" ht="15" hidden="false" customHeight="false" outlineLevel="0" collapsed="false">
      <c r="A18" s="11" t="s">
        <v>10</v>
      </c>
      <c r="B18" s="11" t="s">
        <v>9</v>
      </c>
      <c r="C18" s="11" t="s">
        <v>118</v>
      </c>
      <c r="D18" s="11" t="n">
        <v>20</v>
      </c>
      <c r="E18" s="11" t="s">
        <v>89</v>
      </c>
      <c r="F18" s="11" t="s">
        <v>119</v>
      </c>
      <c r="G18" s="11"/>
    </row>
    <row r="19" customFormat="false" ht="15" hidden="false" customHeight="false" outlineLevel="0" collapsed="false">
      <c r="A19" s="11" t="s">
        <v>10</v>
      </c>
      <c r="B19" s="11" t="s">
        <v>9</v>
      </c>
      <c r="C19" s="11" t="s">
        <v>120</v>
      </c>
      <c r="D19" s="11" t="n">
        <v>320</v>
      </c>
      <c r="E19" s="11" t="s">
        <v>121</v>
      </c>
      <c r="F19" s="11" t="s">
        <v>11</v>
      </c>
      <c r="G19" s="11"/>
    </row>
    <row r="20" customFormat="false" ht="15" hidden="false" customHeight="false" outlineLevel="0" collapsed="false">
      <c r="A20" s="11" t="s">
        <v>10</v>
      </c>
      <c r="B20" s="11" t="s">
        <v>9</v>
      </c>
      <c r="C20" s="11" t="s">
        <v>122</v>
      </c>
      <c r="D20" s="11" t="n">
        <v>320</v>
      </c>
      <c r="E20" s="11" t="s">
        <v>121</v>
      </c>
      <c r="F20" s="11" t="s">
        <v>11</v>
      </c>
      <c r="G20" s="13" t="s">
        <v>92</v>
      </c>
    </row>
    <row r="21" customFormat="false" ht="26.85" hidden="false" customHeight="false" outlineLevel="0" collapsed="false">
      <c r="A21" s="11" t="s">
        <v>10</v>
      </c>
      <c r="B21" s="11" t="s">
        <v>9</v>
      </c>
      <c r="C21" s="11" t="s">
        <v>123</v>
      </c>
      <c r="D21" s="11" t="n">
        <v>260</v>
      </c>
      <c r="E21" s="11" t="s">
        <v>121</v>
      </c>
      <c r="F21" s="11" t="s">
        <v>124</v>
      </c>
      <c r="G21" s="11"/>
    </row>
    <row r="22" customFormat="false" ht="15" hidden="false" customHeight="false" outlineLevel="0" collapsed="false">
      <c r="A22" s="11" t="s">
        <v>10</v>
      </c>
      <c r="B22" s="11" t="s">
        <v>9</v>
      </c>
      <c r="C22" s="11" t="s">
        <v>125</v>
      </c>
      <c r="D22" s="11" t="n">
        <v>260</v>
      </c>
      <c r="E22" s="11" t="s">
        <v>121</v>
      </c>
      <c r="F22" s="11" t="s">
        <v>11</v>
      </c>
      <c r="G22" s="11"/>
    </row>
    <row r="23" customFormat="false" ht="15" hidden="false" customHeight="false" outlineLevel="0" collapsed="false">
      <c r="A23" s="11" t="s">
        <v>10</v>
      </c>
      <c r="B23" s="11" t="s">
        <v>9</v>
      </c>
      <c r="C23" s="11" t="s">
        <v>126</v>
      </c>
      <c r="D23" s="11" t="n">
        <v>90</v>
      </c>
      <c r="E23" s="11" t="s">
        <v>121</v>
      </c>
      <c r="F23" s="11" t="s">
        <v>11</v>
      </c>
      <c r="G23" s="11"/>
    </row>
    <row r="24" customFormat="false" ht="15" hidden="false" customHeight="false" outlineLevel="0" collapsed="false">
      <c r="A24" s="11" t="s">
        <v>10</v>
      </c>
      <c r="B24" s="11" t="s">
        <v>9</v>
      </c>
      <c r="C24" s="11" t="s">
        <v>127</v>
      </c>
      <c r="D24" s="11" t="n">
        <v>90</v>
      </c>
      <c r="E24" s="11" t="s">
        <v>121</v>
      </c>
      <c r="F24" s="11" t="s">
        <v>11</v>
      </c>
      <c r="G24" s="11"/>
    </row>
    <row r="25" customFormat="false" ht="15" hidden="false" customHeight="false" outlineLevel="0" collapsed="false">
      <c r="A25" s="11" t="s">
        <v>10</v>
      </c>
      <c r="B25" s="11" t="s">
        <v>9</v>
      </c>
      <c r="C25" s="11" t="s">
        <v>128</v>
      </c>
      <c r="D25" s="11" t="n">
        <v>40</v>
      </c>
      <c r="E25" s="11" t="s">
        <v>121</v>
      </c>
      <c r="F25" s="11" t="s">
        <v>11</v>
      </c>
      <c r="G25" s="11"/>
    </row>
    <row r="26" customFormat="false" ht="15" hidden="false" customHeight="false" outlineLevel="0" collapsed="false">
      <c r="A26" s="11" t="s">
        <v>10</v>
      </c>
      <c r="B26" s="11" t="s">
        <v>9</v>
      </c>
      <c r="C26" s="11" t="s">
        <v>129</v>
      </c>
      <c r="D26" s="11" t="n">
        <v>20</v>
      </c>
      <c r="E26" s="11" t="s">
        <v>121</v>
      </c>
      <c r="F26" s="11" t="s">
        <v>11</v>
      </c>
      <c r="G26" s="11"/>
    </row>
    <row r="27" customFormat="false" ht="26.85" hidden="false" customHeight="false" outlineLevel="0" collapsed="false">
      <c r="A27" s="11" t="s">
        <v>10</v>
      </c>
      <c r="B27" s="11" t="s">
        <v>9</v>
      </c>
      <c r="C27" s="11" t="s">
        <v>130</v>
      </c>
      <c r="D27" s="11" t="n">
        <v>20</v>
      </c>
      <c r="E27" s="11" t="s">
        <v>121</v>
      </c>
      <c r="F27" s="11" t="s">
        <v>11</v>
      </c>
      <c r="G27" s="11"/>
    </row>
    <row r="28" customFormat="false" ht="15" hidden="false" customHeight="false" outlineLevel="0" collapsed="false">
      <c r="A28" s="11" t="s">
        <v>10</v>
      </c>
      <c r="B28" s="11" t="s">
        <v>9</v>
      </c>
      <c r="C28" s="11" t="s">
        <v>131</v>
      </c>
      <c r="D28" s="11" t="n">
        <v>20</v>
      </c>
      <c r="E28" s="11" t="s">
        <v>121</v>
      </c>
      <c r="F28" s="11" t="s">
        <v>11</v>
      </c>
      <c r="G28" s="11"/>
    </row>
    <row r="29" customFormat="false" ht="15" hidden="false" customHeight="false" outlineLevel="0" collapsed="false">
      <c r="A29" s="11" t="s">
        <v>10</v>
      </c>
      <c r="B29" s="11" t="s">
        <v>9</v>
      </c>
      <c r="C29" s="11" t="s">
        <v>132</v>
      </c>
      <c r="D29" s="11" t="n">
        <v>20</v>
      </c>
      <c r="E29" s="11" t="s">
        <v>121</v>
      </c>
      <c r="F29" s="11" t="s">
        <v>11</v>
      </c>
      <c r="G29" s="1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1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347</v>
      </c>
    </row>
    <row r="2" customFormat="false" ht="15" hidden="false" customHeight="false" outlineLevel="0" collapsed="false">
      <c r="A2" s="3" t="s">
        <v>16</v>
      </c>
      <c r="B2" s="3" t="s">
        <v>15</v>
      </c>
      <c r="C2" s="3" t="s">
        <v>19</v>
      </c>
      <c r="D2" s="3" t="n">
        <v>1600</v>
      </c>
      <c r="E2" s="3" t="s">
        <v>78</v>
      </c>
      <c r="F2" s="3" t="s">
        <v>133</v>
      </c>
      <c r="G2" s="3"/>
    </row>
    <row r="3" customFormat="false" ht="15" hidden="false" customHeight="false" outlineLevel="0" collapsed="false">
      <c r="A3" s="15" t="s">
        <v>16</v>
      </c>
      <c r="B3" s="15" t="s">
        <v>15</v>
      </c>
      <c r="C3" s="15" t="s">
        <v>134</v>
      </c>
      <c r="D3" s="15" t="n">
        <v>140</v>
      </c>
      <c r="E3" s="15" t="s">
        <v>89</v>
      </c>
      <c r="F3" s="15" t="s">
        <v>135</v>
      </c>
      <c r="G3" s="15"/>
    </row>
    <row r="4" customFormat="false" ht="15" hidden="false" customHeight="false" outlineLevel="0" collapsed="false">
      <c r="A4" s="15" t="s">
        <v>16</v>
      </c>
      <c r="B4" s="15" t="s">
        <v>15</v>
      </c>
      <c r="C4" s="15" t="s">
        <v>136</v>
      </c>
      <c r="D4" s="15" t="n">
        <v>90</v>
      </c>
      <c r="E4" s="15" t="s">
        <v>89</v>
      </c>
      <c r="F4" s="15" t="s">
        <v>137</v>
      </c>
      <c r="G4" s="15"/>
    </row>
    <row r="5" customFormat="false" ht="15" hidden="false" customHeight="false" outlineLevel="0" collapsed="false">
      <c r="A5" s="15" t="s">
        <v>16</v>
      </c>
      <c r="B5" s="15" t="s">
        <v>15</v>
      </c>
      <c r="C5" s="15" t="s">
        <v>138</v>
      </c>
      <c r="D5" s="15" t="n">
        <v>90</v>
      </c>
      <c r="E5" s="15" t="s">
        <v>89</v>
      </c>
      <c r="F5" s="15" t="s">
        <v>139</v>
      </c>
      <c r="G5" s="15"/>
    </row>
    <row r="6" customFormat="false" ht="15" hidden="false" customHeight="false" outlineLevel="0" collapsed="false">
      <c r="A6" s="15" t="s">
        <v>16</v>
      </c>
      <c r="B6" s="15" t="s">
        <v>15</v>
      </c>
      <c r="C6" s="15" t="s">
        <v>140</v>
      </c>
      <c r="D6" s="15" t="n">
        <v>70</v>
      </c>
      <c r="E6" s="15" t="s">
        <v>89</v>
      </c>
      <c r="F6" s="15" t="s">
        <v>141</v>
      </c>
      <c r="G6" s="15"/>
    </row>
    <row r="7" customFormat="false" ht="15" hidden="false" customHeight="false" outlineLevel="0" collapsed="false">
      <c r="A7" s="15" t="s">
        <v>16</v>
      </c>
      <c r="B7" s="15" t="s">
        <v>15</v>
      </c>
      <c r="C7" s="15" t="s">
        <v>142</v>
      </c>
      <c r="D7" s="15" t="n">
        <v>50</v>
      </c>
      <c r="E7" s="15" t="s">
        <v>89</v>
      </c>
      <c r="F7" s="15" t="s">
        <v>143</v>
      </c>
      <c r="G7" s="15"/>
    </row>
    <row r="8" customFormat="false" ht="15" hidden="false" customHeight="false" outlineLevel="0" collapsed="false">
      <c r="A8" s="15" t="s">
        <v>16</v>
      </c>
      <c r="B8" s="15" t="s">
        <v>15</v>
      </c>
      <c r="C8" s="15" t="s">
        <v>144</v>
      </c>
      <c r="D8" s="15" t="n">
        <v>50</v>
      </c>
      <c r="E8" s="15" t="s">
        <v>89</v>
      </c>
      <c r="F8" s="15" t="s">
        <v>145</v>
      </c>
      <c r="G8" s="15"/>
    </row>
    <row r="9" customFormat="false" ht="15" hidden="false" customHeight="false" outlineLevel="0" collapsed="false">
      <c r="A9" s="15" t="s">
        <v>16</v>
      </c>
      <c r="B9" s="15" t="s">
        <v>15</v>
      </c>
      <c r="C9" s="15" t="s">
        <v>147</v>
      </c>
      <c r="D9" s="15" t="n">
        <v>50</v>
      </c>
      <c r="E9" s="15" t="s">
        <v>89</v>
      </c>
      <c r="F9" s="15" t="s">
        <v>148</v>
      </c>
      <c r="G9" s="15"/>
    </row>
    <row r="10" customFormat="false" ht="15" hidden="false" customHeight="false" outlineLevel="0" collapsed="false">
      <c r="A10" s="15" t="s">
        <v>16</v>
      </c>
      <c r="B10" s="15" t="s">
        <v>15</v>
      </c>
      <c r="C10" s="15" t="s">
        <v>149</v>
      </c>
      <c r="D10" s="15" t="n">
        <v>50</v>
      </c>
      <c r="E10" s="15" t="s">
        <v>89</v>
      </c>
      <c r="F10" s="15" t="s">
        <v>150</v>
      </c>
      <c r="G10" s="15"/>
    </row>
    <row r="11" customFormat="false" ht="15" hidden="false" customHeight="false" outlineLevel="0" collapsed="false">
      <c r="A11" s="15" t="s">
        <v>16</v>
      </c>
      <c r="B11" s="15" t="s">
        <v>15</v>
      </c>
      <c r="C11" s="15" t="s">
        <v>152</v>
      </c>
      <c r="D11" s="15" t="n">
        <v>40</v>
      </c>
      <c r="E11" s="15" t="s">
        <v>89</v>
      </c>
      <c r="F11" s="15" t="s">
        <v>153</v>
      </c>
      <c r="G11" s="15"/>
    </row>
    <row r="12" customFormat="false" ht="15" hidden="false" customHeight="false" outlineLevel="0" collapsed="false">
      <c r="A12" s="15" t="s">
        <v>16</v>
      </c>
      <c r="B12" s="15" t="s">
        <v>15</v>
      </c>
      <c r="C12" s="15" t="s">
        <v>154</v>
      </c>
      <c r="D12" s="15" t="n">
        <v>40</v>
      </c>
      <c r="E12" s="15" t="s">
        <v>89</v>
      </c>
      <c r="F12" s="15" t="s">
        <v>155</v>
      </c>
      <c r="G12" s="15"/>
    </row>
    <row r="13" customFormat="false" ht="15" hidden="false" customHeight="false" outlineLevel="0" collapsed="false">
      <c r="A13" s="15" t="s">
        <v>16</v>
      </c>
      <c r="B13" s="15" t="s">
        <v>15</v>
      </c>
      <c r="C13" s="15" t="s">
        <v>156</v>
      </c>
      <c r="D13" s="15" t="n">
        <v>30</v>
      </c>
      <c r="E13" s="15" t="s">
        <v>89</v>
      </c>
      <c r="F13" s="15" t="s">
        <v>157</v>
      </c>
      <c r="G13" s="15"/>
    </row>
    <row r="14" customFormat="false" ht="15" hidden="false" customHeight="false" outlineLevel="0" collapsed="false">
      <c r="A14" s="15" t="s">
        <v>16</v>
      </c>
      <c r="B14" s="15" t="s">
        <v>15</v>
      </c>
      <c r="C14" s="15" t="s">
        <v>158</v>
      </c>
      <c r="D14" s="15" t="n">
        <v>30</v>
      </c>
      <c r="E14" s="15" t="s">
        <v>89</v>
      </c>
      <c r="F14" s="15" t="s">
        <v>159</v>
      </c>
      <c r="G14" s="15"/>
    </row>
    <row r="15" customFormat="false" ht="15" hidden="false" customHeight="false" outlineLevel="0" collapsed="false">
      <c r="A15" s="15" t="s">
        <v>16</v>
      </c>
      <c r="B15" s="15" t="s">
        <v>15</v>
      </c>
      <c r="C15" s="15" t="s">
        <v>160</v>
      </c>
      <c r="D15" s="15" t="n">
        <v>10</v>
      </c>
      <c r="E15" s="15" t="s">
        <v>89</v>
      </c>
      <c r="F15" s="15" t="s">
        <v>157</v>
      </c>
      <c r="G15" s="15"/>
    </row>
    <row r="16" customFormat="false" ht="15" hidden="false" customHeight="false" outlineLevel="0" collapsed="false">
      <c r="A16" s="15" t="s">
        <v>16</v>
      </c>
      <c r="B16" s="15" t="s">
        <v>15</v>
      </c>
      <c r="C16" s="15" t="s">
        <v>161</v>
      </c>
      <c r="D16" s="15" t="n">
        <v>590</v>
      </c>
      <c r="E16" s="15" t="s">
        <v>121</v>
      </c>
      <c r="F16" s="15" t="s">
        <v>162</v>
      </c>
      <c r="G16" s="15"/>
    </row>
    <row r="17" customFormat="false" ht="15" hidden="false" customHeight="false" outlineLevel="0" collapsed="false">
      <c r="A17" s="15" t="s">
        <v>16</v>
      </c>
      <c r="B17" s="15" t="s">
        <v>15</v>
      </c>
      <c r="C17" s="15" t="s">
        <v>163</v>
      </c>
      <c r="D17" s="15" t="n">
        <v>170</v>
      </c>
      <c r="E17" s="15" t="s">
        <v>121</v>
      </c>
      <c r="F17" s="15" t="s">
        <v>11</v>
      </c>
      <c r="G17" s="15"/>
    </row>
    <row r="18" customFormat="false" ht="15" hidden="false" customHeight="false" outlineLevel="0" collapsed="false">
      <c r="A18" s="15" t="s">
        <v>16</v>
      </c>
      <c r="B18" s="15" t="s">
        <v>15</v>
      </c>
      <c r="C18" s="15" t="s">
        <v>164</v>
      </c>
      <c r="D18" s="15" t="n">
        <v>170</v>
      </c>
      <c r="E18" s="15" t="s">
        <v>121</v>
      </c>
      <c r="F18" s="15" t="s">
        <v>11</v>
      </c>
      <c r="G18" s="15"/>
    </row>
    <row r="19" customFormat="false" ht="15" hidden="false" customHeight="false" outlineLevel="0" collapsed="false">
      <c r="A19" s="15" t="s">
        <v>16</v>
      </c>
      <c r="B19" s="15" t="s">
        <v>15</v>
      </c>
      <c r="C19" s="15" t="s">
        <v>165</v>
      </c>
      <c r="D19" s="15" t="n">
        <v>140</v>
      </c>
      <c r="E19" s="15" t="s">
        <v>121</v>
      </c>
      <c r="F19" s="15" t="s">
        <v>11</v>
      </c>
      <c r="G19" s="15"/>
    </row>
    <row r="20" customFormat="false" ht="15" hidden="false" customHeight="false" outlineLevel="0" collapsed="false">
      <c r="A20" s="15" t="s">
        <v>16</v>
      </c>
      <c r="B20" s="15" t="s">
        <v>15</v>
      </c>
      <c r="C20" s="15" t="s">
        <v>166</v>
      </c>
      <c r="D20" s="15" t="n">
        <v>90</v>
      </c>
      <c r="E20" s="15" t="s">
        <v>121</v>
      </c>
      <c r="F20" s="15" t="s">
        <v>11</v>
      </c>
      <c r="G20" s="15"/>
    </row>
    <row r="21" customFormat="false" ht="15" hidden="false" customHeight="false" outlineLevel="0" collapsed="false">
      <c r="A21" s="15" t="s">
        <v>16</v>
      </c>
      <c r="B21" s="15" t="s">
        <v>15</v>
      </c>
      <c r="C21" s="15" t="s">
        <v>167</v>
      </c>
      <c r="D21" s="15" t="n">
        <v>50</v>
      </c>
      <c r="E21" s="15" t="s">
        <v>121</v>
      </c>
      <c r="F21" s="15" t="s">
        <v>11</v>
      </c>
      <c r="G21" s="15"/>
    </row>
    <row r="22" customFormat="false" ht="15" hidden="false" customHeight="false" outlineLevel="0" collapsed="false">
      <c r="A22" s="15" t="s">
        <v>16</v>
      </c>
      <c r="B22" s="15" t="s">
        <v>15</v>
      </c>
      <c r="C22" s="15" t="s">
        <v>168</v>
      </c>
      <c r="D22" s="15" t="n">
        <v>40</v>
      </c>
      <c r="E22" s="15" t="s">
        <v>121</v>
      </c>
      <c r="F22" s="15" t="s">
        <v>11</v>
      </c>
      <c r="G22" s="15"/>
    </row>
    <row r="23" customFormat="false" ht="15" hidden="false" customHeight="false" outlineLevel="0" collapsed="false">
      <c r="A23" s="15" t="s">
        <v>16</v>
      </c>
      <c r="B23" s="15" t="s">
        <v>15</v>
      </c>
      <c r="C23" s="15" t="s">
        <v>169</v>
      </c>
      <c r="D23" s="15" t="n">
        <v>30</v>
      </c>
      <c r="E23" s="15" t="s">
        <v>121</v>
      </c>
      <c r="F23" s="15" t="s">
        <v>11</v>
      </c>
      <c r="G23" s="15"/>
    </row>
    <row r="24" customFormat="false" ht="15" hidden="false" customHeight="false" outlineLevel="0" collapsed="false">
      <c r="A24" s="15" t="s">
        <v>16</v>
      </c>
      <c r="B24" s="15" t="s">
        <v>15</v>
      </c>
      <c r="C24" s="15" t="s">
        <v>170</v>
      </c>
      <c r="D24" s="15" t="n">
        <v>20</v>
      </c>
      <c r="E24" s="15" t="s">
        <v>121</v>
      </c>
      <c r="F24" s="15" t="s">
        <v>11</v>
      </c>
      <c r="G24" s="15"/>
    </row>
    <row r="25" customFormat="false" ht="15" hidden="false" customHeight="false" outlineLevel="0" collapsed="false">
      <c r="A25" s="15" t="s">
        <v>16</v>
      </c>
      <c r="B25" s="15" t="s">
        <v>15</v>
      </c>
      <c r="C25" s="15" t="s">
        <v>171</v>
      </c>
      <c r="D25" s="15" t="n">
        <v>10</v>
      </c>
      <c r="E25" s="15" t="s">
        <v>121</v>
      </c>
      <c r="F25" s="15" t="s">
        <v>11</v>
      </c>
      <c r="G25" s="15"/>
    </row>
    <row r="26" customFormat="false" ht="15" hidden="false" customHeight="false" outlineLevel="0" collapsed="false">
      <c r="A26" s="15" t="s">
        <v>16</v>
      </c>
      <c r="B26" s="15" t="s">
        <v>15</v>
      </c>
      <c r="C26" s="15" t="s">
        <v>172</v>
      </c>
      <c r="D26" s="15" t="n">
        <v>10</v>
      </c>
      <c r="E26" s="15" t="s">
        <v>121</v>
      </c>
      <c r="F26" s="15" t="s">
        <v>11</v>
      </c>
      <c r="G26" s="15"/>
    </row>
    <row r="27" customFormat="false" ht="15" hidden="false" customHeight="false" outlineLevel="0" collapsed="false">
      <c r="A27" s="15" t="s">
        <v>16</v>
      </c>
      <c r="B27" s="15" t="s">
        <v>15</v>
      </c>
      <c r="C27" s="15" t="s">
        <v>173</v>
      </c>
      <c r="D27" s="15" t="n">
        <v>10</v>
      </c>
      <c r="E27" s="15" t="s">
        <v>121</v>
      </c>
      <c r="F27" s="15" t="s">
        <v>11</v>
      </c>
      <c r="G27" s="15"/>
    </row>
    <row r="28" customFormat="false" ht="26.85" hidden="false" customHeight="false" outlineLevel="0" collapsed="false">
      <c r="A28" s="7" t="s">
        <v>22</v>
      </c>
      <c r="B28" s="7" t="s">
        <v>21</v>
      </c>
      <c r="C28" s="7" t="s">
        <v>24</v>
      </c>
      <c r="D28" s="7" t="n">
        <v>140</v>
      </c>
      <c r="E28" s="7" t="s">
        <v>78</v>
      </c>
      <c r="F28" s="7" t="s">
        <v>174</v>
      </c>
      <c r="G28" s="10" t="s">
        <v>92</v>
      </c>
    </row>
    <row r="29" customFormat="false" ht="26.85" hidden="false" customHeight="false" outlineLevel="0" collapsed="false">
      <c r="A29" s="4" t="s">
        <v>22</v>
      </c>
      <c r="B29" s="4" t="s">
        <v>21</v>
      </c>
      <c r="C29" s="4" t="s">
        <v>176</v>
      </c>
      <c r="D29" s="4" t="n">
        <v>90</v>
      </c>
      <c r="E29" s="4" t="s">
        <v>89</v>
      </c>
      <c r="F29" s="4" t="s">
        <v>177</v>
      </c>
      <c r="G29" s="13" t="s">
        <v>92</v>
      </c>
    </row>
    <row r="30" customFormat="false" ht="26.85" hidden="false" customHeight="false" outlineLevel="0" collapsed="false">
      <c r="A30" s="4" t="s">
        <v>22</v>
      </c>
      <c r="B30" s="4" t="s">
        <v>21</v>
      </c>
      <c r="C30" s="4" t="s">
        <v>179</v>
      </c>
      <c r="D30" s="4" t="n">
        <v>70</v>
      </c>
      <c r="E30" s="4" t="s">
        <v>89</v>
      </c>
      <c r="F30" s="4" t="s">
        <v>180</v>
      </c>
      <c r="G30" s="13" t="s">
        <v>92</v>
      </c>
    </row>
    <row r="31" customFormat="false" ht="26.85" hidden="false" customHeight="false" outlineLevel="0" collapsed="false">
      <c r="A31" s="4" t="s">
        <v>22</v>
      </c>
      <c r="B31" s="4" t="s">
        <v>21</v>
      </c>
      <c r="C31" s="4" t="s">
        <v>181</v>
      </c>
      <c r="D31" s="4" t="n">
        <v>50</v>
      </c>
      <c r="E31" s="4" t="s">
        <v>89</v>
      </c>
      <c r="F31" s="4" t="s">
        <v>177</v>
      </c>
      <c r="G31" s="13" t="s">
        <v>92</v>
      </c>
    </row>
    <row r="32" customFormat="false" ht="26.85" hidden="false" customHeight="false" outlineLevel="0" collapsed="false">
      <c r="A32" s="4" t="s">
        <v>22</v>
      </c>
      <c r="B32" s="4" t="s">
        <v>21</v>
      </c>
      <c r="C32" s="4" t="s">
        <v>183</v>
      </c>
      <c r="D32" s="4" t="n">
        <v>40</v>
      </c>
      <c r="E32" s="4" t="s">
        <v>89</v>
      </c>
      <c r="F32" s="4" t="s">
        <v>177</v>
      </c>
      <c r="G32" s="13" t="s">
        <v>92</v>
      </c>
    </row>
    <row r="33" customFormat="false" ht="26.85" hidden="false" customHeight="false" outlineLevel="0" collapsed="false">
      <c r="A33" s="4" t="s">
        <v>22</v>
      </c>
      <c r="B33" s="4" t="s">
        <v>21</v>
      </c>
      <c r="C33" s="4" t="s">
        <v>184</v>
      </c>
      <c r="D33" s="4" t="n">
        <v>40</v>
      </c>
      <c r="E33" s="4" t="s">
        <v>89</v>
      </c>
      <c r="F33" s="4" t="s">
        <v>177</v>
      </c>
      <c r="G33" s="13" t="s">
        <v>92</v>
      </c>
    </row>
    <row r="34" customFormat="false" ht="26.85" hidden="false" customHeight="false" outlineLevel="0" collapsed="false">
      <c r="A34" s="4" t="s">
        <v>22</v>
      </c>
      <c r="B34" s="4" t="s">
        <v>21</v>
      </c>
      <c r="C34" s="4" t="s">
        <v>185</v>
      </c>
      <c r="D34" s="4" t="n">
        <v>20</v>
      </c>
      <c r="E34" s="4" t="s">
        <v>89</v>
      </c>
      <c r="F34" s="4" t="s">
        <v>177</v>
      </c>
      <c r="G34" s="13" t="s">
        <v>92</v>
      </c>
    </row>
    <row r="35" customFormat="false" ht="26.85" hidden="false" customHeight="false" outlineLevel="0" collapsed="false">
      <c r="A35" s="4" t="s">
        <v>22</v>
      </c>
      <c r="B35" s="4" t="s">
        <v>21</v>
      </c>
      <c r="C35" s="4" t="s">
        <v>186</v>
      </c>
      <c r="D35" s="4" t="n">
        <v>90</v>
      </c>
      <c r="E35" s="4" t="s">
        <v>121</v>
      </c>
      <c r="F35" s="4" t="s">
        <v>11</v>
      </c>
      <c r="G35" s="13" t="s">
        <v>92</v>
      </c>
    </row>
    <row r="36" customFormat="false" ht="26.85" hidden="false" customHeight="false" outlineLevel="0" collapsed="false">
      <c r="A36" s="4" t="s">
        <v>22</v>
      </c>
      <c r="B36" s="4" t="s">
        <v>21</v>
      </c>
      <c r="C36" s="4" t="s">
        <v>187</v>
      </c>
      <c r="D36" s="4" t="n">
        <v>50</v>
      </c>
      <c r="E36" s="4" t="s">
        <v>121</v>
      </c>
      <c r="F36" s="4" t="s">
        <v>11</v>
      </c>
      <c r="G36" s="13" t="s">
        <v>92</v>
      </c>
    </row>
    <row r="37" customFormat="false" ht="26.85" hidden="false" customHeight="false" outlineLevel="0" collapsed="false">
      <c r="A37" s="4" t="s">
        <v>22</v>
      </c>
      <c r="B37" s="4" t="s">
        <v>21</v>
      </c>
      <c r="C37" s="4" t="s">
        <v>188</v>
      </c>
      <c r="D37" s="4" t="n">
        <v>50</v>
      </c>
      <c r="E37" s="4" t="s">
        <v>121</v>
      </c>
      <c r="F37" s="4" t="s">
        <v>11</v>
      </c>
      <c r="G37" s="13" t="s">
        <v>92</v>
      </c>
    </row>
    <row r="38" customFormat="false" ht="26.85" hidden="false" customHeight="false" outlineLevel="0" collapsed="false">
      <c r="A38" s="4" t="s">
        <v>22</v>
      </c>
      <c r="B38" s="4" t="s">
        <v>21</v>
      </c>
      <c r="C38" s="4" t="s">
        <v>189</v>
      </c>
      <c r="D38" s="4" t="n">
        <v>30</v>
      </c>
      <c r="E38" s="4" t="s">
        <v>121</v>
      </c>
      <c r="F38" s="4" t="s">
        <v>11</v>
      </c>
      <c r="G38" s="13" t="s">
        <v>92</v>
      </c>
    </row>
    <row r="39" customFormat="false" ht="26.85" hidden="false" customHeight="false" outlineLevel="0" collapsed="false">
      <c r="A39" s="4" t="s">
        <v>22</v>
      </c>
      <c r="B39" s="4" t="s">
        <v>21</v>
      </c>
      <c r="C39" s="4" t="s">
        <v>190</v>
      </c>
      <c r="D39" s="4" t="n">
        <v>10</v>
      </c>
      <c r="E39" s="4" t="s">
        <v>121</v>
      </c>
      <c r="F39" s="4" t="s">
        <v>11</v>
      </c>
      <c r="G39" s="13" t="s">
        <v>92</v>
      </c>
    </row>
    <row r="40" customFormat="false" ht="15" hidden="false" customHeight="false" outlineLevel="0" collapsed="false">
      <c r="A40" s="7" t="s">
        <v>26</v>
      </c>
      <c r="B40" s="7" t="s">
        <v>21</v>
      </c>
      <c r="C40" s="7" t="s">
        <v>27</v>
      </c>
      <c r="D40" s="7" t="n">
        <v>30</v>
      </c>
      <c r="E40" s="7" t="s">
        <v>78</v>
      </c>
      <c r="F40" s="7" t="s">
        <v>174</v>
      </c>
      <c r="G40" s="7"/>
    </row>
    <row r="41" customFormat="false" ht="15" hidden="false" customHeight="false" outlineLevel="0" collapsed="false">
      <c r="A41" s="4" t="s">
        <v>26</v>
      </c>
      <c r="B41" s="4" t="s">
        <v>21</v>
      </c>
      <c r="C41" s="4" t="s">
        <v>192</v>
      </c>
      <c r="D41" s="4" t="n">
        <v>20</v>
      </c>
      <c r="E41" s="4" t="s">
        <v>89</v>
      </c>
      <c r="F41" s="4" t="s">
        <v>177</v>
      </c>
      <c r="G41" s="4"/>
    </row>
    <row r="42" customFormat="false" ht="15" hidden="false" customHeight="false" outlineLevel="0" collapsed="false">
      <c r="A42" s="4" t="s">
        <v>26</v>
      </c>
      <c r="B42" s="4" t="s">
        <v>21</v>
      </c>
      <c r="C42" s="4" t="s">
        <v>194</v>
      </c>
      <c r="D42" s="4" t="n">
        <v>8100</v>
      </c>
      <c r="E42" s="4" t="s">
        <v>195</v>
      </c>
      <c r="F42" s="4" t="s">
        <v>196</v>
      </c>
      <c r="G42" s="4"/>
    </row>
    <row r="43" customFormat="false" ht="15" hidden="false" customHeight="false" outlineLevel="0" collapsed="false">
      <c r="A43" s="4" t="s">
        <v>26</v>
      </c>
      <c r="B43" s="4" t="s">
        <v>21</v>
      </c>
      <c r="C43" s="4" t="s">
        <v>197</v>
      </c>
      <c r="D43" s="4" t="n">
        <v>4400</v>
      </c>
      <c r="E43" s="4" t="s">
        <v>195</v>
      </c>
      <c r="F43" s="4" t="s">
        <v>196</v>
      </c>
      <c r="G43" s="4"/>
    </row>
    <row r="44" customFormat="false" ht="15" hidden="false" customHeight="false" outlineLevel="0" collapsed="false">
      <c r="A44" s="4" t="s">
        <v>26</v>
      </c>
      <c r="B44" s="4" t="s">
        <v>21</v>
      </c>
      <c r="C44" s="4" t="s">
        <v>198</v>
      </c>
      <c r="D44" s="4" t="n">
        <v>2900</v>
      </c>
      <c r="E44" s="4" t="s">
        <v>195</v>
      </c>
      <c r="F44" s="4" t="s">
        <v>196</v>
      </c>
      <c r="G44" s="4"/>
    </row>
    <row r="45" customFormat="false" ht="15" hidden="false" customHeight="false" outlineLevel="0" collapsed="false">
      <c r="A45" s="4" t="s">
        <v>26</v>
      </c>
      <c r="B45" s="4" t="s">
        <v>21</v>
      </c>
      <c r="C45" s="4" t="s">
        <v>199</v>
      </c>
      <c r="D45" s="4" t="n">
        <v>1600</v>
      </c>
      <c r="E45" s="4" t="s">
        <v>195</v>
      </c>
      <c r="F45" s="4" t="s">
        <v>196</v>
      </c>
      <c r="G45" s="4"/>
    </row>
    <row r="46" customFormat="false" ht="15" hidden="false" customHeight="false" outlineLevel="0" collapsed="false">
      <c r="A46" s="4" t="s">
        <v>26</v>
      </c>
      <c r="B46" s="4" t="s">
        <v>21</v>
      </c>
      <c r="C46" s="4" t="s">
        <v>200</v>
      </c>
      <c r="D46" s="4" t="n">
        <v>1600</v>
      </c>
      <c r="E46" s="4" t="s">
        <v>195</v>
      </c>
      <c r="F46" s="4" t="s">
        <v>196</v>
      </c>
      <c r="G46" s="4"/>
    </row>
    <row r="47" customFormat="false" ht="15" hidden="false" customHeight="false" outlineLevel="0" collapsed="false">
      <c r="A47" s="4" t="s">
        <v>26</v>
      </c>
      <c r="B47" s="4" t="s">
        <v>21</v>
      </c>
      <c r="C47" s="4" t="s">
        <v>201</v>
      </c>
      <c r="D47" s="4" t="n">
        <v>390</v>
      </c>
      <c r="E47" s="4" t="s">
        <v>195</v>
      </c>
      <c r="F47" s="4" t="s">
        <v>202</v>
      </c>
      <c r="G47" s="4"/>
    </row>
    <row r="48" customFormat="false" ht="15" hidden="false" customHeight="false" outlineLevel="0" collapsed="false">
      <c r="A48" s="4" t="s">
        <v>26</v>
      </c>
      <c r="B48" s="4" t="s">
        <v>21</v>
      </c>
      <c r="C48" s="4" t="s">
        <v>203</v>
      </c>
      <c r="D48" s="4" t="n">
        <v>210</v>
      </c>
      <c r="E48" s="4" t="s">
        <v>195</v>
      </c>
      <c r="F48" s="4" t="s">
        <v>11</v>
      </c>
      <c r="G48" s="4"/>
    </row>
    <row r="49" customFormat="false" ht="15" hidden="false" customHeight="false" outlineLevel="0" collapsed="false">
      <c r="A49" s="4" t="s">
        <v>26</v>
      </c>
      <c r="B49" s="4" t="s">
        <v>21</v>
      </c>
      <c r="C49" s="4" t="s">
        <v>204</v>
      </c>
      <c r="D49" s="4" t="n">
        <v>90</v>
      </c>
      <c r="E49" s="4" t="s">
        <v>195</v>
      </c>
      <c r="F49" s="4" t="s">
        <v>11</v>
      </c>
      <c r="G49" s="4"/>
    </row>
    <row r="50" customFormat="false" ht="15" hidden="false" customHeight="false" outlineLevel="0" collapsed="false">
      <c r="A50" s="4" t="s">
        <v>26</v>
      </c>
      <c r="B50" s="4" t="s">
        <v>21</v>
      </c>
      <c r="C50" s="4" t="s">
        <v>205</v>
      </c>
      <c r="D50" s="4" t="n">
        <v>20</v>
      </c>
      <c r="E50" s="4" t="s">
        <v>121</v>
      </c>
      <c r="F50" s="4" t="s">
        <v>11</v>
      </c>
      <c r="G50" s="4"/>
    </row>
    <row r="51" customFormat="false" ht="15" hidden="false" customHeight="false" outlineLevel="0" collapsed="false">
      <c r="A51" s="4" t="s">
        <v>26</v>
      </c>
      <c r="B51" s="4" t="s">
        <v>21</v>
      </c>
      <c r="C51" s="4" t="s">
        <v>206</v>
      </c>
      <c r="D51" s="4" t="n">
        <v>20</v>
      </c>
      <c r="E51" s="4" t="s">
        <v>121</v>
      </c>
      <c r="F51" s="4" t="s">
        <v>11</v>
      </c>
      <c r="G51" s="4"/>
    </row>
    <row r="52" customFormat="false" ht="15" hidden="false" customHeight="false" outlineLevel="0" collapsed="false">
      <c r="A52" s="4" t="s">
        <v>26</v>
      </c>
      <c r="B52" s="4" t="s">
        <v>21</v>
      </c>
      <c r="C52" s="4" t="s">
        <v>207</v>
      </c>
      <c r="D52" s="4" t="n">
        <v>20</v>
      </c>
      <c r="E52" s="4" t="s">
        <v>121</v>
      </c>
      <c r="F52" s="4" t="s">
        <v>11</v>
      </c>
      <c r="G52" s="4"/>
    </row>
    <row r="53" customFormat="false" ht="15" hidden="false" customHeight="false" outlineLevel="0" collapsed="false">
      <c r="A53" s="4" t="s">
        <v>26</v>
      </c>
      <c r="B53" s="4" t="s">
        <v>21</v>
      </c>
      <c r="C53" s="4" t="s">
        <v>208</v>
      </c>
      <c r="D53" s="4" t="n">
        <v>20</v>
      </c>
      <c r="E53" s="4" t="s">
        <v>121</v>
      </c>
      <c r="F53" s="4" t="s">
        <v>11</v>
      </c>
      <c r="G53" s="4"/>
    </row>
    <row r="54" customFormat="false" ht="26.85" hidden="false" customHeight="false" outlineLevel="0" collapsed="false">
      <c r="A54" s="7" t="s">
        <v>29</v>
      </c>
      <c r="B54" s="7" t="s">
        <v>21</v>
      </c>
      <c r="C54" s="7" t="s">
        <v>30</v>
      </c>
      <c r="D54" s="7" t="n">
        <v>2400</v>
      </c>
      <c r="E54" s="7" t="s">
        <v>78</v>
      </c>
      <c r="F54" s="7" t="s">
        <v>174</v>
      </c>
      <c r="G54" s="7"/>
    </row>
    <row r="55" customFormat="false" ht="26.85" hidden="false" customHeight="false" outlineLevel="0" collapsed="false">
      <c r="A55" s="4" t="s">
        <v>29</v>
      </c>
      <c r="B55" s="4" t="s">
        <v>21</v>
      </c>
      <c r="C55" s="4" t="s">
        <v>210</v>
      </c>
      <c r="D55" s="4" t="n">
        <v>2400</v>
      </c>
      <c r="E55" s="4" t="s">
        <v>89</v>
      </c>
      <c r="F55" s="4" t="s">
        <v>177</v>
      </c>
      <c r="G55" s="4"/>
    </row>
    <row r="56" customFormat="false" ht="26.85" hidden="false" customHeight="false" outlineLevel="0" collapsed="false">
      <c r="A56" s="4" t="s">
        <v>29</v>
      </c>
      <c r="B56" s="4" t="s">
        <v>21</v>
      </c>
      <c r="C56" s="4" t="s">
        <v>211</v>
      </c>
      <c r="D56" s="4" t="n">
        <v>2400</v>
      </c>
      <c r="E56" s="4" t="s">
        <v>89</v>
      </c>
      <c r="F56" s="4" t="s">
        <v>177</v>
      </c>
      <c r="G56" s="4"/>
    </row>
    <row r="57" customFormat="false" ht="26.85" hidden="false" customHeight="false" outlineLevel="0" collapsed="false">
      <c r="A57" s="4" t="s">
        <v>29</v>
      </c>
      <c r="B57" s="4" t="s">
        <v>21</v>
      </c>
      <c r="C57" s="4" t="s">
        <v>212</v>
      </c>
      <c r="D57" s="4" t="n">
        <v>480</v>
      </c>
      <c r="E57" s="4" t="s">
        <v>89</v>
      </c>
      <c r="F57" s="4" t="s">
        <v>177</v>
      </c>
      <c r="G57" s="4"/>
    </row>
    <row r="58" customFormat="false" ht="26.85" hidden="false" customHeight="false" outlineLevel="0" collapsed="false">
      <c r="A58" s="4" t="s">
        <v>29</v>
      </c>
      <c r="B58" s="4" t="s">
        <v>21</v>
      </c>
      <c r="C58" s="4" t="s">
        <v>213</v>
      </c>
      <c r="D58" s="4" t="n">
        <v>320</v>
      </c>
      <c r="E58" s="4" t="s">
        <v>89</v>
      </c>
      <c r="F58" s="4" t="s">
        <v>177</v>
      </c>
      <c r="G58" s="4"/>
    </row>
    <row r="59" customFormat="false" ht="26.85" hidden="false" customHeight="false" outlineLevel="0" collapsed="false">
      <c r="A59" s="4" t="s">
        <v>29</v>
      </c>
      <c r="B59" s="4" t="s">
        <v>21</v>
      </c>
      <c r="C59" s="4" t="s">
        <v>214</v>
      </c>
      <c r="D59" s="4" t="n">
        <v>210</v>
      </c>
      <c r="E59" s="4" t="s">
        <v>89</v>
      </c>
      <c r="F59" s="4" t="s">
        <v>177</v>
      </c>
      <c r="G59" s="4"/>
    </row>
    <row r="60" customFormat="false" ht="26.85" hidden="false" customHeight="false" outlineLevel="0" collapsed="false">
      <c r="A60" s="4" t="s">
        <v>29</v>
      </c>
      <c r="B60" s="4" t="s">
        <v>21</v>
      </c>
      <c r="C60" s="4" t="s">
        <v>215</v>
      </c>
      <c r="D60" s="4" t="n">
        <v>170</v>
      </c>
      <c r="E60" s="4" t="s">
        <v>89</v>
      </c>
      <c r="F60" s="4" t="s">
        <v>177</v>
      </c>
      <c r="G60" s="4"/>
    </row>
    <row r="61" customFormat="false" ht="26.85" hidden="false" customHeight="false" outlineLevel="0" collapsed="false">
      <c r="A61" s="4" t="s">
        <v>29</v>
      </c>
      <c r="B61" s="4" t="s">
        <v>21</v>
      </c>
      <c r="C61" s="4" t="s">
        <v>216</v>
      </c>
      <c r="D61" s="4" t="n">
        <v>170</v>
      </c>
      <c r="E61" s="4" t="s">
        <v>89</v>
      </c>
      <c r="F61" s="4" t="s">
        <v>177</v>
      </c>
      <c r="G61" s="4"/>
    </row>
    <row r="62" customFormat="false" ht="26.85" hidden="false" customHeight="false" outlineLevel="0" collapsed="false">
      <c r="A62" s="4" t="s">
        <v>29</v>
      </c>
      <c r="B62" s="4" t="s">
        <v>21</v>
      </c>
      <c r="C62" s="4" t="s">
        <v>217</v>
      </c>
      <c r="D62" s="4" t="n">
        <v>170</v>
      </c>
      <c r="E62" s="4" t="s">
        <v>89</v>
      </c>
      <c r="F62" s="4" t="s">
        <v>177</v>
      </c>
      <c r="G62" s="4"/>
    </row>
    <row r="63" customFormat="false" ht="26.85" hidden="false" customHeight="false" outlineLevel="0" collapsed="false">
      <c r="A63" s="4" t="s">
        <v>29</v>
      </c>
      <c r="B63" s="4" t="s">
        <v>21</v>
      </c>
      <c r="C63" s="4" t="s">
        <v>219</v>
      </c>
      <c r="D63" s="4" t="n">
        <v>50</v>
      </c>
      <c r="E63" s="4" t="s">
        <v>89</v>
      </c>
      <c r="F63" s="4" t="s">
        <v>177</v>
      </c>
      <c r="G63" s="13" t="s">
        <v>92</v>
      </c>
    </row>
    <row r="64" customFormat="false" ht="26.85" hidden="false" customHeight="false" outlineLevel="0" collapsed="false">
      <c r="A64" s="4" t="s">
        <v>29</v>
      </c>
      <c r="B64" s="4" t="s">
        <v>21</v>
      </c>
      <c r="C64" s="4" t="s">
        <v>221</v>
      </c>
      <c r="D64" s="4" t="n">
        <v>40</v>
      </c>
      <c r="E64" s="4" t="s">
        <v>89</v>
      </c>
      <c r="F64" s="4" t="s">
        <v>177</v>
      </c>
      <c r="G64" s="13" t="s">
        <v>92</v>
      </c>
    </row>
    <row r="65" customFormat="false" ht="26.85" hidden="false" customHeight="false" outlineLevel="0" collapsed="false">
      <c r="A65" s="4" t="s">
        <v>29</v>
      </c>
      <c r="B65" s="4" t="s">
        <v>21</v>
      </c>
      <c r="C65" s="4" t="s">
        <v>223</v>
      </c>
      <c r="D65" s="4" t="n">
        <v>90</v>
      </c>
      <c r="E65" s="4" t="s">
        <v>121</v>
      </c>
      <c r="F65" s="4" t="s">
        <v>11</v>
      </c>
      <c r="G65" s="4"/>
    </row>
    <row r="66" customFormat="false" ht="26.85" hidden="false" customHeight="false" outlineLevel="0" collapsed="false">
      <c r="A66" s="4" t="s">
        <v>29</v>
      </c>
      <c r="B66" s="4" t="s">
        <v>21</v>
      </c>
      <c r="C66" s="4" t="s">
        <v>224</v>
      </c>
      <c r="D66" s="4" t="n">
        <v>90</v>
      </c>
      <c r="E66" s="4" t="s">
        <v>121</v>
      </c>
      <c r="F66" s="4" t="s">
        <v>11</v>
      </c>
      <c r="G66" s="4"/>
    </row>
    <row r="67" customFormat="false" ht="26.85" hidden="false" customHeight="false" outlineLevel="0" collapsed="false">
      <c r="A67" s="4" t="s">
        <v>29</v>
      </c>
      <c r="B67" s="4" t="s">
        <v>21</v>
      </c>
      <c r="C67" s="4" t="s">
        <v>225</v>
      </c>
      <c r="D67" s="4" t="n">
        <v>70</v>
      </c>
      <c r="E67" s="4" t="s">
        <v>121</v>
      </c>
      <c r="F67" s="4" t="s">
        <v>11</v>
      </c>
      <c r="G67" s="13" t="s">
        <v>92</v>
      </c>
    </row>
    <row r="68" customFormat="false" ht="26.85" hidden="false" customHeight="false" outlineLevel="0" collapsed="false">
      <c r="A68" s="4" t="s">
        <v>29</v>
      </c>
      <c r="B68" s="4" t="s">
        <v>21</v>
      </c>
      <c r="C68" s="4" t="s">
        <v>227</v>
      </c>
      <c r="D68" s="4" t="n">
        <v>50</v>
      </c>
      <c r="E68" s="4" t="s">
        <v>121</v>
      </c>
      <c r="F68" s="4" t="s">
        <v>11</v>
      </c>
      <c r="G68" s="4"/>
    </row>
    <row r="69" customFormat="false" ht="26.85" hidden="false" customHeight="false" outlineLevel="0" collapsed="false">
      <c r="A69" s="4" t="s">
        <v>29</v>
      </c>
      <c r="B69" s="4" t="s">
        <v>21</v>
      </c>
      <c r="C69" s="4" t="s">
        <v>228</v>
      </c>
      <c r="D69" s="4" t="n">
        <v>50</v>
      </c>
      <c r="E69" s="4" t="s">
        <v>121</v>
      </c>
      <c r="F69" s="4" t="s">
        <v>11</v>
      </c>
      <c r="G69" s="4"/>
    </row>
    <row r="70" customFormat="false" ht="26.85" hidden="false" customHeight="false" outlineLevel="0" collapsed="false">
      <c r="A70" s="4" t="s">
        <v>29</v>
      </c>
      <c r="B70" s="4" t="s">
        <v>21</v>
      </c>
      <c r="C70" s="4" t="s">
        <v>229</v>
      </c>
      <c r="D70" s="4" t="n">
        <v>50</v>
      </c>
      <c r="E70" s="4" t="s">
        <v>121</v>
      </c>
      <c r="F70" s="4" t="s">
        <v>11</v>
      </c>
      <c r="G70" s="4"/>
    </row>
    <row r="71" customFormat="false" ht="26.85" hidden="false" customHeight="false" outlineLevel="0" collapsed="false">
      <c r="A71" s="4" t="s">
        <v>29</v>
      </c>
      <c r="B71" s="4" t="s">
        <v>21</v>
      </c>
      <c r="C71" s="4" t="s">
        <v>230</v>
      </c>
      <c r="D71" s="4" t="n">
        <v>50</v>
      </c>
      <c r="E71" s="4" t="s">
        <v>121</v>
      </c>
      <c r="F71" s="4" t="s">
        <v>11</v>
      </c>
      <c r="G71" s="13" t="s">
        <v>92</v>
      </c>
    </row>
    <row r="72" customFormat="false" ht="26.85" hidden="false" customHeight="false" outlineLevel="0" collapsed="false">
      <c r="A72" s="4" t="s">
        <v>29</v>
      </c>
      <c r="B72" s="4" t="s">
        <v>21</v>
      </c>
      <c r="C72" s="4" t="s">
        <v>231</v>
      </c>
      <c r="D72" s="4" t="n">
        <v>20</v>
      </c>
      <c r="E72" s="4" t="s">
        <v>121</v>
      </c>
      <c r="F72" s="4" t="s">
        <v>11</v>
      </c>
      <c r="G72" s="4"/>
    </row>
    <row r="73" customFormat="false" ht="26.85" hidden="false" customHeight="false" outlineLevel="0" collapsed="false">
      <c r="A73" s="4" t="s">
        <v>29</v>
      </c>
      <c r="B73" s="4" t="s">
        <v>21</v>
      </c>
      <c r="C73" s="4" t="s">
        <v>232</v>
      </c>
      <c r="D73" s="4" t="n">
        <v>20</v>
      </c>
      <c r="E73" s="4" t="s">
        <v>121</v>
      </c>
      <c r="F73" s="4" t="s">
        <v>11</v>
      </c>
      <c r="G7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1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347</v>
      </c>
    </row>
    <row r="2" customFormat="false" ht="15" hidden="false" customHeight="false" outlineLevel="0" collapsed="false">
      <c r="A2" s="3" t="s">
        <v>33</v>
      </c>
      <c r="B2" s="3" t="s">
        <v>32</v>
      </c>
      <c r="C2" s="3" t="s">
        <v>35</v>
      </c>
      <c r="D2" s="3" t="n">
        <v>140</v>
      </c>
      <c r="E2" s="3" t="s">
        <v>78</v>
      </c>
      <c r="F2" s="3" t="s">
        <v>133</v>
      </c>
      <c r="G2" s="3"/>
    </row>
    <row r="3" customFormat="false" ht="15" hidden="false" customHeight="false" outlineLevel="0" collapsed="false">
      <c r="A3" s="15" t="s">
        <v>33</v>
      </c>
      <c r="B3" s="15" t="s">
        <v>32</v>
      </c>
      <c r="C3" s="15" t="s">
        <v>233</v>
      </c>
      <c r="D3" s="15" t="n">
        <v>170</v>
      </c>
      <c r="E3" s="15" t="s">
        <v>89</v>
      </c>
      <c r="F3" s="15" t="s">
        <v>177</v>
      </c>
      <c r="G3" s="15"/>
    </row>
    <row r="4" customFormat="false" ht="15" hidden="false" customHeight="false" outlineLevel="0" collapsed="false">
      <c r="A4" s="15" t="s">
        <v>33</v>
      </c>
      <c r="B4" s="15" t="s">
        <v>32</v>
      </c>
      <c r="C4" s="15" t="s">
        <v>235</v>
      </c>
      <c r="D4" s="15" t="n">
        <v>90</v>
      </c>
      <c r="E4" s="15" t="s">
        <v>89</v>
      </c>
      <c r="F4" s="15" t="s">
        <v>236</v>
      </c>
      <c r="G4" s="15"/>
    </row>
    <row r="5" customFormat="false" ht="15" hidden="false" customHeight="false" outlineLevel="0" collapsed="false">
      <c r="A5" s="15" t="s">
        <v>33</v>
      </c>
      <c r="B5" s="15" t="s">
        <v>32</v>
      </c>
      <c r="C5" s="15" t="s">
        <v>237</v>
      </c>
      <c r="D5" s="15" t="n">
        <v>70</v>
      </c>
      <c r="E5" s="15" t="s">
        <v>89</v>
      </c>
      <c r="F5" s="15" t="s">
        <v>238</v>
      </c>
      <c r="G5" s="15"/>
    </row>
    <row r="6" customFormat="false" ht="15" hidden="false" customHeight="false" outlineLevel="0" collapsed="false">
      <c r="A6" s="15" t="s">
        <v>33</v>
      </c>
      <c r="B6" s="15" t="s">
        <v>32</v>
      </c>
      <c r="C6" s="15" t="s">
        <v>239</v>
      </c>
      <c r="D6" s="15" t="n">
        <v>40</v>
      </c>
      <c r="E6" s="15" t="s">
        <v>89</v>
      </c>
      <c r="F6" s="15" t="s">
        <v>157</v>
      </c>
      <c r="G6" s="15"/>
    </row>
    <row r="7" customFormat="false" ht="15" hidden="false" customHeight="false" outlineLevel="0" collapsed="false">
      <c r="A7" s="15" t="s">
        <v>33</v>
      </c>
      <c r="B7" s="15" t="s">
        <v>32</v>
      </c>
      <c r="C7" s="15" t="s">
        <v>240</v>
      </c>
      <c r="D7" s="15" t="n">
        <v>30</v>
      </c>
      <c r="E7" s="15" t="s">
        <v>89</v>
      </c>
      <c r="F7" s="15" t="s">
        <v>155</v>
      </c>
      <c r="G7" s="15"/>
    </row>
    <row r="8" customFormat="false" ht="15" hidden="false" customHeight="false" outlineLevel="0" collapsed="false">
      <c r="A8" s="15" t="s">
        <v>33</v>
      </c>
      <c r="B8" s="15" t="s">
        <v>32</v>
      </c>
      <c r="C8" s="15" t="s">
        <v>241</v>
      </c>
      <c r="D8" s="15" t="n">
        <v>20</v>
      </c>
      <c r="E8" s="15" t="s">
        <v>89</v>
      </c>
      <c r="F8" s="15" t="s">
        <v>242</v>
      </c>
      <c r="G8" s="15"/>
    </row>
    <row r="9" customFormat="false" ht="15" hidden="false" customHeight="false" outlineLevel="0" collapsed="false">
      <c r="A9" s="15" t="s">
        <v>33</v>
      </c>
      <c r="B9" s="15" t="s">
        <v>32</v>
      </c>
      <c r="C9" s="15" t="s">
        <v>243</v>
      </c>
      <c r="D9" s="15" t="n">
        <v>20</v>
      </c>
      <c r="E9" s="15" t="s">
        <v>89</v>
      </c>
      <c r="F9" s="15" t="s">
        <v>244</v>
      </c>
      <c r="G9" s="15"/>
    </row>
    <row r="10" customFormat="false" ht="15" hidden="false" customHeight="false" outlineLevel="0" collapsed="false">
      <c r="A10" s="15" t="s">
        <v>33</v>
      </c>
      <c r="B10" s="15" t="s">
        <v>32</v>
      </c>
      <c r="C10" s="15" t="s">
        <v>245</v>
      </c>
      <c r="D10" s="15" t="n">
        <v>170</v>
      </c>
      <c r="E10" s="15" t="s">
        <v>121</v>
      </c>
      <c r="F10" s="15" t="s">
        <v>11</v>
      </c>
      <c r="G10" s="15"/>
    </row>
    <row r="11" customFormat="false" ht="15" hidden="false" customHeight="false" outlineLevel="0" collapsed="false">
      <c r="A11" s="15" t="s">
        <v>33</v>
      </c>
      <c r="B11" s="15" t="s">
        <v>32</v>
      </c>
      <c r="C11" s="15" t="s">
        <v>246</v>
      </c>
      <c r="D11" s="15" t="n">
        <v>140</v>
      </c>
      <c r="E11" s="15" t="s">
        <v>121</v>
      </c>
      <c r="F11" s="15" t="s">
        <v>11</v>
      </c>
      <c r="G11" s="15"/>
    </row>
    <row r="12" customFormat="false" ht="15" hidden="false" customHeight="false" outlineLevel="0" collapsed="false">
      <c r="A12" s="15" t="s">
        <v>33</v>
      </c>
      <c r="B12" s="15" t="s">
        <v>32</v>
      </c>
      <c r="C12" s="15" t="s">
        <v>247</v>
      </c>
      <c r="D12" s="15" t="n">
        <v>90</v>
      </c>
      <c r="E12" s="15" t="s">
        <v>121</v>
      </c>
      <c r="F12" s="15" t="s">
        <v>11</v>
      </c>
      <c r="G12" s="15"/>
    </row>
    <row r="13" customFormat="false" ht="15" hidden="false" customHeight="false" outlineLevel="0" collapsed="false">
      <c r="A13" s="15" t="s">
        <v>33</v>
      </c>
      <c r="B13" s="15" t="s">
        <v>32</v>
      </c>
      <c r="C13" s="15" t="s">
        <v>248</v>
      </c>
      <c r="D13" s="15" t="n">
        <v>10</v>
      </c>
      <c r="E13" s="15" t="s">
        <v>121</v>
      </c>
      <c r="F13" s="15" t="s">
        <v>11</v>
      </c>
      <c r="G13" s="15"/>
    </row>
    <row r="14" customFormat="false" ht="15" hidden="false" customHeight="false" outlineLevel="0" collapsed="false">
      <c r="A14" s="7" t="s">
        <v>37</v>
      </c>
      <c r="B14" s="7" t="s">
        <v>21</v>
      </c>
      <c r="C14" s="7" t="s">
        <v>38</v>
      </c>
      <c r="D14" s="7" t="n">
        <v>50</v>
      </c>
      <c r="E14" s="7" t="s">
        <v>78</v>
      </c>
      <c r="F14" s="7" t="s">
        <v>174</v>
      </c>
      <c r="G14" s="10" t="s">
        <v>92</v>
      </c>
    </row>
    <row r="15" customFormat="false" ht="15" hidden="false" customHeight="false" outlineLevel="0" collapsed="false">
      <c r="A15" s="4" t="s">
        <v>37</v>
      </c>
      <c r="B15" s="4" t="s">
        <v>21</v>
      </c>
      <c r="C15" s="4" t="s">
        <v>250</v>
      </c>
      <c r="D15" s="4" t="n">
        <v>90</v>
      </c>
      <c r="E15" s="4" t="s">
        <v>89</v>
      </c>
      <c r="F15" s="4" t="s">
        <v>251</v>
      </c>
      <c r="G15" s="13" t="s">
        <v>92</v>
      </c>
    </row>
    <row r="16" customFormat="false" ht="15" hidden="false" customHeight="false" outlineLevel="0" collapsed="false">
      <c r="A16" s="4" t="s">
        <v>37</v>
      </c>
      <c r="B16" s="4" t="s">
        <v>21</v>
      </c>
      <c r="C16" s="4" t="s">
        <v>253</v>
      </c>
      <c r="D16" s="4" t="n">
        <v>70</v>
      </c>
      <c r="E16" s="4" t="s">
        <v>121</v>
      </c>
      <c r="F16" s="4" t="s">
        <v>11</v>
      </c>
      <c r="G16" s="13" t="s">
        <v>92</v>
      </c>
    </row>
    <row r="17" customFormat="false" ht="15" hidden="false" customHeight="false" outlineLevel="0" collapsed="false">
      <c r="A17" s="4" t="s">
        <v>37</v>
      </c>
      <c r="B17" s="4" t="s">
        <v>21</v>
      </c>
      <c r="C17" s="4" t="s">
        <v>255</v>
      </c>
      <c r="D17" s="4" t="n">
        <v>20</v>
      </c>
      <c r="E17" s="4" t="s">
        <v>121</v>
      </c>
      <c r="F17" s="4" t="s">
        <v>11</v>
      </c>
      <c r="G17" s="1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1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347</v>
      </c>
    </row>
    <row r="2" customFormat="false" ht="15" hidden="false" customHeight="false" outlineLevel="0" collapsed="false">
      <c r="A2" s="3" t="s">
        <v>40</v>
      </c>
      <c r="B2" s="3" t="s">
        <v>39</v>
      </c>
      <c r="C2" s="3" t="s">
        <v>42</v>
      </c>
      <c r="D2" s="3" t="n">
        <v>210</v>
      </c>
      <c r="E2" s="3" t="s">
        <v>78</v>
      </c>
      <c r="F2" s="3" t="s">
        <v>133</v>
      </c>
      <c r="G2" s="3"/>
    </row>
    <row r="3" customFormat="false" ht="15" hidden="false" customHeight="false" outlineLevel="0" collapsed="false">
      <c r="A3" s="15" t="s">
        <v>40</v>
      </c>
      <c r="B3" s="15" t="s">
        <v>39</v>
      </c>
      <c r="C3" s="15" t="s">
        <v>256</v>
      </c>
      <c r="D3" s="15" t="n">
        <v>170</v>
      </c>
      <c r="E3" s="15" t="s">
        <v>89</v>
      </c>
      <c r="F3" s="15" t="s">
        <v>177</v>
      </c>
      <c r="G3" s="15"/>
    </row>
    <row r="4" customFormat="false" ht="15" hidden="false" customHeight="false" outlineLevel="0" collapsed="false">
      <c r="A4" s="15" t="s">
        <v>40</v>
      </c>
      <c r="B4" s="15" t="s">
        <v>39</v>
      </c>
      <c r="C4" s="15" t="s">
        <v>257</v>
      </c>
      <c r="D4" s="15" t="n">
        <v>70</v>
      </c>
      <c r="E4" s="15" t="s">
        <v>89</v>
      </c>
      <c r="F4" s="15" t="s">
        <v>155</v>
      </c>
      <c r="G4" s="15"/>
    </row>
    <row r="5" customFormat="false" ht="15" hidden="false" customHeight="false" outlineLevel="0" collapsed="false">
      <c r="A5" s="15" t="s">
        <v>40</v>
      </c>
      <c r="B5" s="15" t="s">
        <v>39</v>
      </c>
      <c r="C5" s="15" t="s">
        <v>258</v>
      </c>
      <c r="D5" s="15" t="n">
        <v>50</v>
      </c>
      <c r="E5" s="15" t="s">
        <v>89</v>
      </c>
      <c r="F5" s="15" t="s">
        <v>105</v>
      </c>
      <c r="G5" s="15"/>
    </row>
    <row r="6" customFormat="false" ht="15" hidden="false" customHeight="false" outlineLevel="0" collapsed="false">
      <c r="A6" s="15" t="s">
        <v>40</v>
      </c>
      <c r="B6" s="15" t="s">
        <v>39</v>
      </c>
      <c r="C6" s="15" t="s">
        <v>260</v>
      </c>
      <c r="D6" s="15" t="n">
        <v>40</v>
      </c>
      <c r="E6" s="15" t="s">
        <v>89</v>
      </c>
      <c r="F6" s="15" t="s">
        <v>261</v>
      </c>
      <c r="G6" s="15"/>
    </row>
    <row r="7" customFormat="false" ht="15" hidden="false" customHeight="false" outlineLevel="0" collapsed="false">
      <c r="A7" s="15" t="s">
        <v>40</v>
      </c>
      <c r="B7" s="15" t="s">
        <v>39</v>
      </c>
      <c r="C7" s="15" t="s">
        <v>262</v>
      </c>
      <c r="D7" s="15" t="n">
        <v>30</v>
      </c>
      <c r="E7" s="15" t="s">
        <v>89</v>
      </c>
      <c r="F7" s="15" t="s">
        <v>263</v>
      </c>
      <c r="G7" s="15"/>
    </row>
    <row r="8" customFormat="false" ht="15" hidden="false" customHeight="false" outlineLevel="0" collapsed="false">
      <c r="A8" s="15" t="s">
        <v>40</v>
      </c>
      <c r="B8" s="15" t="s">
        <v>39</v>
      </c>
      <c r="C8" s="15" t="s">
        <v>264</v>
      </c>
      <c r="D8" s="15" t="n">
        <v>30</v>
      </c>
      <c r="E8" s="15" t="s">
        <v>89</v>
      </c>
      <c r="F8" s="15" t="s">
        <v>261</v>
      </c>
      <c r="G8" s="15"/>
    </row>
    <row r="9" customFormat="false" ht="15" hidden="false" customHeight="false" outlineLevel="0" collapsed="false">
      <c r="A9" s="15" t="s">
        <v>40</v>
      </c>
      <c r="B9" s="15" t="s">
        <v>39</v>
      </c>
      <c r="C9" s="15" t="s">
        <v>265</v>
      </c>
      <c r="D9" s="15" t="n">
        <v>30</v>
      </c>
      <c r="E9" s="15" t="s">
        <v>89</v>
      </c>
      <c r="F9" s="15" t="s">
        <v>137</v>
      </c>
      <c r="G9" s="15"/>
    </row>
    <row r="10" customFormat="false" ht="15" hidden="false" customHeight="false" outlineLevel="0" collapsed="false">
      <c r="A10" s="15" t="s">
        <v>40</v>
      </c>
      <c r="B10" s="15" t="s">
        <v>39</v>
      </c>
      <c r="C10" s="15" t="s">
        <v>266</v>
      </c>
      <c r="D10" s="15" t="n">
        <v>20</v>
      </c>
      <c r="E10" s="15" t="s">
        <v>89</v>
      </c>
      <c r="F10" s="15" t="s">
        <v>267</v>
      </c>
      <c r="G10" s="15"/>
    </row>
    <row r="11" customFormat="false" ht="15" hidden="false" customHeight="false" outlineLevel="0" collapsed="false">
      <c r="A11" s="15" t="s">
        <v>40</v>
      </c>
      <c r="B11" s="15" t="s">
        <v>39</v>
      </c>
      <c r="C11" s="15" t="s">
        <v>268</v>
      </c>
      <c r="D11" s="15" t="n">
        <v>20</v>
      </c>
      <c r="E11" s="15" t="s">
        <v>89</v>
      </c>
      <c r="F11" s="15" t="s">
        <v>269</v>
      </c>
      <c r="G11" s="15"/>
    </row>
    <row r="12" customFormat="false" ht="15" hidden="false" customHeight="false" outlineLevel="0" collapsed="false">
      <c r="A12" s="15" t="s">
        <v>40</v>
      </c>
      <c r="B12" s="15" t="s">
        <v>39</v>
      </c>
      <c r="C12" s="15" t="s">
        <v>270</v>
      </c>
      <c r="D12" s="15" t="n">
        <v>1300</v>
      </c>
      <c r="E12" s="15" t="s">
        <v>195</v>
      </c>
      <c r="F12" s="15" t="s">
        <v>202</v>
      </c>
      <c r="G12" s="15"/>
    </row>
    <row r="13" customFormat="false" ht="15" hidden="false" customHeight="false" outlineLevel="0" collapsed="false">
      <c r="A13" s="15" t="s">
        <v>40</v>
      </c>
      <c r="B13" s="15" t="s">
        <v>39</v>
      </c>
      <c r="C13" s="15" t="s">
        <v>272</v>
      </c>
      <c r="D13" s="15" t="n">
        <v>880</v>
      </c>
      <c r="E13" s="15" t="s">
        <v>195</v>
      </c>
      <c r="F13" s="15" t="s">
        <v>202</v>
      </c>
      <c r="G13" s="15"/>
    </row>
    <row r="14" customFormat="false" ht="15" hidden="false" customHeight="false" outlineLevel="0" collapsed="false">
      <c r="A14" s="15" t="s">
        <v>40</v>
      </c>
      <c r="B14" s="15" t="s">
        <v>39</v>
      </c>
      <c r="C14" s="15" t="s">
        <v>273</v>
      </c>
      <c r="D14" s="15" t="n">
        <v>720</v>
      </c>
      <c r="E14" s="15" t="s">
        <v>195</v>
      </c>
      <c r="F14" s="15" t="s">
        <v>202</v>
      </c>
      <c r="G14" s="15"/>
    </row>
    <row r="15" customFormat="false" ht="15" hidden="false" customHeight="false" outlineLevel="0" collapsed="false">
      <c r="A15" s="15" t="s">
        <v>40</v>
      </c>
      <c r="B15" s="15" t="s">
        <v>39</v>
      </c>
      <c r="C15" s="15" t="s">
        <v>274</v>
      </c>
      <c r="D15" s="15" t="n">
        <v>320</v>
      </c>
      <c r="E15" s="15" t="s">
        <v>195</v>
      </c>
      <c r="F15" s="15" t="s">
        <v>202</v>
      </c>
      <c r="G15" s="15"/>
    </row>
    <row r="16" customFormat="false" ht="15" hidden="false" customHeight="false" outlineLevel="0" collapsed="false">
      <c r="A16" s="15" t="s">
        <v>40</v>
      </c>
      <c r="B16" s="15" t="s">
        <v>39</v>
      </c>
      <c r="C16" s="15" t="s">
        <v>275</v>
      </c>
      <c r="D16" s="15" t="n">
        <v>50</v>
      </c>
      <c r="E16" s="15" t="s">
        <v>121</v>
      </c>
      <c r="F16" s="15" t="s">
        <v>11</v>
      </c>
      <c r="G16" s="15"/>
    </row>
    <row r="17" customFormat="false" ht="15" hidden="false" customHeight="false" outlineLevel="0" collapsed="false">
      <c r="A17" s="15" t="s">
        <v>40</v>
      </c>
      <c r="B17" s="15" t="s">
        <v>39</v>
      </c>
      <c r="C17" s="15" t="s">
        <v>276</v>
      </c>
      <c r="D17" s="15" t="n">
        <v>50</v>
      </c>
      <c r="E17" s="15" t="s">
        <v>121</v>
      </c>
      <c r="F17" s="15" t="s">
        <v>11</v>
      </c>
      <c r="G17" s="15"/>
    </row>
    <row r="18" customFormat="false" ht="15" hidden="false" customHeight="false" outlineLevel="0" collapsed="false">
      <c r="A18" s="15" t="s">
        <v>40</v>
      </c>
      <c r="B18" s="15" t="s">
        <v>39</v>
      </c>
      <c r="C18" s="15" t="s">
        <v>277</v>
      </c>
      <c r="D18" s="15" t="n">
        <v>50</v>
      </c>
      <c r="E18" s="15" t="s">
        <v>121</v>
      </c>
      <c r="F18" s="15" t="s">
        <v>11</v>
      </c>
      <c r="G18" s="15"/>
    </row>
    <row r="19" customFormat="false" ht="15" hidden="false" customHeight="false" outlineLevel="0" collapsed="false">
      <c r="A19" s="15" t="s">
        <v>40</v>
      </c>
      <c r="B19" s="15" t="s">
        <v>39</v>
      </c>
      <c r="C19" s="15" t="s">
        <v>278</v>
      </c>
      <c r="D19" s="15" t="n">
        <v>50</v>
      </c>
      <c r="E19" s="15" t="s">
        <v>121</v>
      </c>
      <c r="F19" s="15" t="s">
        <v>11</v>
      </c>
      <c r="G19" s="15"/>
    </row>
    <row r="20" customFormat="false" ht="15" hidden="false" customHeight="false" outlineLevel="0" collapsed="false">
      <c r="A20" s="15" t="s">
        <v>40</v>
      </c>
      <c r="B20" s="15" t="s">
        <v>39</v>
      </c>
      <c r="C20" s="15" t="s">
        <v>279</v>
      </c>
      <c r="D20" s="15" t="n">
        <v>50</v>
      </c>
      <c r="E20" s="15" t="s">
        <v>121</v>
      </c>
      <c r="F20" s="15" t="s">
        <v>11</v>
      </c>
      <c r="G20" s="15"/>
    </row>
    <row r="21" customFormat="false" ht="15" hidden="false" customHeight="false" outlineLevel="0" collapsed="false">
      <c r="A21" s="15" t="s">
        <v>40</v>
      </c>
      <c r="B21" s="15" t="s">
        <v>39</v>
      </c>
      <c r="C21" s="15" t="s">
        <v>280</v>
      </c>
      <c r="D21" s="15" t="n">
        <v>50</v>
      </c>
      <c r="E21" s="15" t="s">
        <v>121</v>
      </c>
      <c r="F21" s="15" t="s">
        <v>11</v>
      </c>
      <c r="G21" s="15"/>
    </row>
    <row r="22" customFormat="false" ht="15" hidden="false" customHeight="false" outlineLevel="0" collapsed="false">
      <c r="A22" s="15" t="s">
        <v>40</v>
      </c>
      <c r="B22" s="15" t="s">
        <v>39</v>
      </c>
      <c r="C22" s="15" t="s">
        <v>281</v>
      </c>
      <c r="D22" s="15" t="n">
        <v>50</v>
      </c>
      <c r="E22" s="15" t="s">
        <v>121</v>
      </c>
      <c r="F22" s="15" t="s">
        <v>11</v>
      </c>
      <c r="G22" s="15"/>
    </row>
    <row r="23" customFormat="false" ht="15" hidden="false" customHeight="false" outlineLevel="0" collapsed="false">
      <c r="A23" s="15" t="s">
        <v>40</v>
      </c>
      <c r="B23" s="15" t="s">
        <v>39</v>
      </c>
      <c r="C23" s="15" t="s">
        <v>282</v>
      </c>
      <c r="D23" s="15" t="n">
        <v>50</v>
      </c>
      <c r="E23" s="15" t="s">
        <v>121</v>
      </c>
      <c r="F23" s="15" t="s">
        <v>11</v>
      </c>
      <c r="G23" s="15"/>
    </row>
    <row r="24" customFormat="false" ht="15" hidden="false" customHeight="false" outlineLevel="0" collapsed="false">
      <c r="A24" s="7" t="s">
        <v>43</v>
      </c>
      <c r="B24" s="7" t="s">
        <v>21</v>
      </c>
      <c r="C24" s="7" t="s">
        <v>44</v>
      </c>
      <c r="D24" s="7" t="n">
        <v>260</v>
      </c>
      <c r="E24" s="7" t="s">
        <v>78</v>
      </c>
      <c r="F24" s="7" t="s">
        <v>174</v>
      </c>
      <c r="G24" s="10" t="s">
        <v>92</v>
      </c>
    </row>
    <row r="25" customFormat="false" ht="15" hidden="false" customHeight="false" outlineLevel="0" collapsed="false">
      <c r="A25" s="4" t="s">
        <v>43</v>
      </c>
      <c r="B25" s="4" t="s">
        <v>21</v>
      </c>
      <c r="C25" s="4" t="s">
        <v>284</v>
      </c>
      <c r="D25" s="4" t="n">
        <v>140</v>
      </c>
      <c r="E25" s="4" t="s">
        <v>89</v>
      </c>
      <c r="F25" s="4" t="s">
        <v>177</v>
      </c>
      <c r="G25" s="13" t="s">
        <v>92</v>
      </c>
    </row>
    <row r="26" customFormat="false" ht="15" hidden="false" customHeight="false" outlineLevel="0" collapsed="false">
      <c r="A26" s="4" t="s">
        <v>43</v>
      </c>
      <c r="B26" s="4" t="s">
        <v>21</v>
      </c>
      <c r="C26" s="4" t="s">
        <v>285</v>
      </c>
      <c r="D26" s="4" t="n">
        <v>30</v>
      </c>
      <c r="E26" s="4" t="s">
        <v>89</v>
      </c>
      <c r="F26" s="4" t="s">
        <v>180</v>
      </c>
      <c r="G26" s="13" t="s">
        <v>92</v>
      </c>
    </row>
    <row r="27" customFormat="false" ht="15" hidden="false" customHeight="false" outlineLevel="0" collapsed="false">
      <c r="A27" s="4" t="s">
        <v>43</v>
      </c>
      <c r="B27" s="4" t="s">
        <v>21</v>
      </c>
      <c r="C27" s="4" t="s">
        <v>286</v>
      </c>
      <c r="D27" s="4" t="n">
        <v>140</v>
      </c>
      <c r="E27" s="4" t="s">
        <v>121</v>
      </c>
      <c r="F27" s="4" t="s">
        <v>11</v>
      </c>
      <c r="G27" s="13" t="s">
        <v>92</v>
      </c>
    </row>
    <row r="28" customFormat="false" ht="26.85" hidden="false" customHeight="false" outlineLevel="0" collapsed="false">
      <c r="A28" s="7" t="s">
        <v>45</v>
      </c>
      <c r="B28" s="7" t="s">
        <v>21</v>
      </c>
      <c r="C28" s="7" t="s">
        <v>46</v>
      </c>
      <c r="D28" s="7" t="n">
        <v>1900</v>
      </c>
      <c r="E28" s="7" t="s">
        <v>78</v>
      </c>
      <c r="F28" s="7" t="s">
        <v>174</v>
      </c>
      <c r="G28" s="7"/>
    </row>
    <row r="29" customFormat="false" ht="26.85" hidden="false" customHeight="false" outlineLevel="0" collapsed="false">
      <c r="A29" s="4" t="s">
        <v>45</v>
      </c>
      <c r="B29" s="4" t="s">
        <v>21</v>
      </c>
      <c r="C29" s="4" t="s">
        <v>288</v>
      </c>
      <c r="D29" s="4" t="n">
        <v>320</v>
      </c>
      <c r="E29" s="4" t="s">
        <v>89</v>
      </c>
      <c r="F29" s="4" t="s">
        <v>177</v>
      </c>
      <c r="G29" s="4"/>
    </row>
    <row r="30" customFormat="false" ht="26.85" hidden="false" customHeight="false" outlineLevel="0" collapsed="false">
      <c r="A30" s="4" t="s">
        <v>45</v>
      </c>
      <c r="B30" s="4" t="s">
        <v>21</v>
      </c>
      <c r="C30" s="4" t="s">
        <v>289</v>
      </c>
      <c r="D30" s="4" t="n">
        <v>90</v>
      </c>
      <c r="E30" s="4" t="s">
        <v>89</v>
      </c>
      <c r="F30" s="4" t="s">
        <v>290</v>
      </c>
      <c r="G30" s="13" t="s">
        <v>92</v>
      </c>
    </row>
    <row r="31" customFormat="false" ht="26.85" hidden="false" customHeight="false" outlineLevel="0" collapsed="false">
      <c r="A31" s="4" t="s">
        <v>45</v>
      </c>
      <c r="B31" s="4" t="s">
        <v>21</v>
      </c>
      <c r="C31" s="4" t="s">
        <v>292</v>
      </c>
      <c r="D31" s="4" t="n">
        <v>30</v>
      </c>
      <c r="E31" s="4" t="s">
        <v>89</v>
      </c>
      <c r="F31" s="4" t="s">
        <v>293</v>
      </c>
      <c r="G31" s="13" t="s">
        <v>92</v>
      </c>
    </row>
    <row r="32" customFormat="false" ht="26.85" hidden="false" customHeight="false" outlineLevel="0" collapsed="false">
      <c r="A32" s="4" t="s">
        <v>45</v>
      </c>
      <c r="B32" s="4" t="s">
        <v>21</v>
      </c>
      <c r="C32" s="4" t="s">
        <v>294</v>
      </c>
      <c r="D32" s="4" t="n">
        <v>70</v>
      </c>
      <c r="E32" s="4" t="s">
        <v>121</v>
      </c>
      <c r="F32" s="4" t="s">
        <v>11</v>
      </c>
      <c r="G32" s="4"/>
    </row>
    <row r="33" customFormat="false" ht="26.85" hidden="false" customHeight="false" outlineLevel="0" collapsed="false">
      <c r="A33" s="4" t="s">
        <v>45</v>
      </c>
      <c r="B33" s="4" t="s">
        <v>21</v>
      </c>
      <c r="C33" s="4" t="s">
        <v>295</v>
      </c>
      <c r="D33" s="4" t="n">
        <v>30</v>
      </c>
      <c r="E33" s="4" t="s">
        <v>121</v>
      </c>
      <c r="F33" s="4" t="s">
        <v>11</v>
      </c>
      <c r="G33" s="4"/>
    </row>
    <row r="34" customFormat="false" ht="15" hidden="false" customHeight="false" outlineLevel="0" collapsed="false">
      <c r="A34" s="7" t="s">
        <v>47</v>
      </c>
      <c r="B34" s="7" t="s">
        <v>21</v>
      </c>
      <c r="C34" s="7" t="s">
        <v>48</v>
      </c>
      <c r="D34" s="7" t="n">
        <v>1600</v>
      </c>
      <c r="E34" s="7" t="s">
        <v>78</v>
      </c>
      <c r="F34" s="7" t="s">
        <v>174</v>
      </c>
      <c r="G34" s="7"/>
    </row>
    <row r="35" customFormat="false" ht="15" hidden="false" customHeight="false" outlineLevel="0" collapsed="false">
      <c r="A35" s="7" t="s">
        <v>49</v>
      </c>
      <c r="B35" s="7" t="s">
        <v>21</v>
      </c>
      <c r="C35" s="7" t="s">
        <v>50</v>
      </c>
      <c r="D35" s="7" t="n">
        <v>170</v>
      </c>
      <c r="E35" s="7" t="s">
        <v>78</v>
      </c>
      <c r="F35" s="7" t="s">
        <v>174</v>
      </c>
      <c r="G35" s="7"/>
    </row>
    <row r="36" customFormat="false" ht="15" hidden="false" customHeight="false" outlineLevel="0" collapsed="false">
      <c r="A36" s="4" t="s">
        <v>49</v>
      </c>
      <c r="B36" s="4" t="s">
        <v>21</v>
      </c>
      <c r="C36" s="4" t="s">
        <v>298</v>
      </c>
      <c r="D36" s="4" t="n">
        <v>20</v>
      </c>
      <c r="E36" s="4" t="s">
        <v>121</v>
      </c>
      <c r="F36" s="4" t="s">
        <v>11</v>
      </c>
      <c r="G3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1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347</v>
      </c>
    </row>
    <row r="2" customFormat="false" ht="15" hidden="false" customHeight="false" outlineLevel="0" collapsed="false">
      <c r="A2" s="3" t="s">
        <v>53</v>
      </c>
      <c r="B2" s="3" t="s">
        <v>52</v>
      </c>
      <c r="C2" s="3" t="s">
        <v>55</v>
      </c>
      <c r="D2" s="3" t="n">
        <v>70</v>
      </c>
      <c r="E2" s="3" t="s">
        <v>78</v>
      </c>
      <c r="F2" s="3" t="s">
        <v>133</v>
      </c>
      <c r="G2" s="3"/>
    </row>
    <row r="3" customFormat="false" ht="15" hidden="false" customHeight="false" outlineLevel="0" collapsed="false">
      <c r="A3" s="15" t="s">
        <v>53</v>
      </c>
      <c r="B3" s="15" t="s">
        <v>52</v>
      </c>
      <c r="C3" s="15" t="s">
        <v>299</v>
      </c>
      <c r="D3" s="15" t="n">
        <v>70</v>
      </c>
      <c r="E3" s="15" t="s">
        <v>89</v>
      </c>
      <c r="F3" s="15" t="s">
        <v>177</v>
      </c>
      <c r="G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1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347</v>
      </c>
    </row>
    <row r="2" customFormat="false" ht="15" hidden="false" customHeight="false" outlineLevel="0" collapsed="false">
      <c r="A2" s="5" t="s">
        <v>57</v>
      </c>
      <c r="B2" s="5" t="s">
        <v>56</v>
      </c>
      <c r="C2" s="5" t="s">
        <v>300</v>
      </c>
      <c r="D2" s="5" t="n">
        <v>8100</v>
      </c>
      <c r="E2" s="5" t="s">
        <v>89</v>
      </c>
      <c r="F2" s="5" t="s">
        <v>301</v>
      </c>
      <c r="G2" s="5"/>
    </row>
    <row r="3" customFormat="false" ht="15" hidden="false" customHeight="false" outlineLevel="0" collapsed="false">
      <c r="A3" s="5" t="s">
        <v>57</v>
      </c>
      <c r="B3" s="5" t="s">
        <v>56</v>
      </c>
      <c r="C3" s="5" t="s">
        <v>302</v>
      </c>
      <c r="D3" s="5" t="n">
        <v>110</v>
      </c>
      <c r="E3" s="5" t="s">
        <v>89</v>
      </c>
      <c r="F3" s="5" t="s">
        <v>303</v>
      </c>
      <c r="G3" s="5"/>
    </row>
    <row r="4" customFormat="false" ht="15" hidden="false" customHeight="false" outlineLevel="0" collapsed="false">
      <c r="A4" s="5" t="s">
        <v>57</v>
      </c>
      <c r="B4" s="5" t="s">
        <v>56</v>
      </c>
      <c r="C4" s="5" t="s">
        <v>304</v>
      </c>
      <c r="D4" s="5" t="n">
        <v>50</v>
      </c>
      <c r="E4" s="5" t="s">
        <v>89</v>
      </c>
      <c r="F4" s="5" t="s">
        <v>305</v>
      </c>
      <c r="G4" s="5"/>
    </row>
    <row r="5" customFormat="false" ht="15" hidden="false" customHeight="false" outlineLevel="0" collapsed="false">
      <c r="A5" s="5" t="s">
        <v>57</v>
      </c>
      <c r="B5" s="5" t="s">
        <v>56</v>
      </c>
      <c r="C5" s="5" t="s">
        <v>306</v>
      </c>
      <c r="D5" s="5" t="n">
        <v>30</v>
      </c>
      <c r="E5" s="5" t="s">
        <v>89</v>
      </c>
      <c r="F5" s="5" t="s">
        <v>307</v>
      </c>
      <c r="G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1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347</v>
      </c>
    </row>
    <row r="2" customFormat="false" ht="26.85" hidden="false" customHeight="false" outlineLevel="0" collapsed="false">
      <c r="A2" s="6" t="s">
        <v>61</v>
      </c>
      <c r="B2" s="6" t="s">
        <v>60</v>
      </c>
      <c r="C2" s="6" t="s">
        <v>308</v>
      </c>
      <c r="D2" s="6" t="n">
        <v>4400</v>
      </c>
      <c r="E2" s="6" t="s">
        <v>60</v>
      </c>
      <c r="F2" s="6" t="s">
        <v>309</v>
      </c>
      <c r="G2" s="6"/>
    </row>
    <row r="3" customFormat="false" ht="15" hidden="false" customHeight="false" outlineLevel="0" collapsed="false">
      <c r="A3" s="6" t="s">
        <v>61</v>
      </c>
      <c r="B3" s="6" t="s">
        <v>60</v>
      </c>
      <c r="C3" s="6" t="s">
        <v>311</v>
      </c>
      <c r="D3" s="6" t="n">
        <v>390</v>
      </c>
      <c r="E3" s="6" t="s">
        <v>60</v>
      </c>
      <c r="F3" s="6" t="s">
        <v>11</v>
      </c>
      <c r="G3" s="6"/>
    </row>
    <row r="4" customFormat="false" ht="15" hidden="false" customHeight="false" outlineLevel="0" collapsed="false">
      <c r="A4" s="6" t="s">
        <v>61</v>
      </c>
      <c r="B4" s="6" t="s">
        <v>60</v>
      </c>
      <c r="C4" s="6" t="s">
        <v>313</v>
      </c>
      <c r="D4" s="6" t="n">
        <v>320</v>
      </c>
      <c r="E4" s="6" t="s">
        <v>60</v>
      </c>
      <c r="F4" s="6" t="s">
        <v>11</v>
      </c>
      <c r="G4" s="6"/>
    </row>
    <row r="5" customFormat="false" ht="15" hidden="false" customHeight="false" outlineLevel="0" collapsed="false">
      <c r="A5" s="6" t="s">
        <v>61</v>
      </c>
      <c r="B5" s="6" t="s">
        <v>60</v>
      </c>
      <c r="C5" s="6" t="s">
        <v>314</v>
      </c>
      <c r="D5" s="6" t="n">
        <v>320</v>
      </c>
      <c r="E5" s="6" t="s">
        <v>60</v>
      </c>
      <c r="F5" s="6" t="s">
        <v>315</v>
      </c>
      <c r="G5" s="6"/>
    </row>
    <row r="6" customFormat="false" ht="15" hidden="false" customHeight="false" outlineLevel="0" collapsed="false">
      <c r="A6" s="6" t="s">
        <v>61</v>
      </c>
      <c r="B6" s="6" t="s">
        <v>60</v>
      </c>
      <c r="C6" s="6" t="s">
        <v>317</v>
      </c>
      <c r="D6" s="6" t="n">
        <v>110</v>
      </c>
      <c r="E6" s="6" t="s">
        <v>60</v>
      </c>
      <c r="F6" s="6" t="s">
        <v>11</v>
      </c>
      <c r="G6" s="6"/>
    </row>
    <row r="7" customFormat="false" ht="15" hidden="false" customHeight="false" outlineLevel="0" collapsed="false">
      <c r="A7" s="6" t="s">
        <v>61</v>
      </c>
      <c r="B7" s="6" t="s">
        <v>60</v>
      </c>
      <c r="C7" s="6" t="s">
        <v>319</v>
      </c>
      <c r="D7" s="6" t="n">
        <v>30</v>
      </c>
      <c r="E7" s="6" t="s">
        <v>60</v>
      </c>
      <c r="F7" s="6" t="s">
        <v>11</v>
      </c>
      <c r="G7" s="6"/>
    </row>
    <row r="8" customFormat="false" ht="15" hidden="false" customHeight="false" outlineLevel="0" collapsed="false">
      <c r="A8" s="6" t="s">
        <v>61</v>
      </c>
      <c r="B8" s="6" t="s">
        <v>60</v>
      </c>
      <c r="C8" s="6" t="s">
        <v>320</v>
      </c>
      <c r="D8" s="6" t="n">
        <v>30</v>
      </c>
      <c r="E8" s="6" t="s">
        <v>60</v>
      </c>
      <c r="F8" s="6" t="s">
        <v>11</v>
      </c>
      <c r="G8" s="6"/>
    </row>
    <row r="9" customFormat="false" ht="15" hidden="false" customHeight="false" outlineLevel="0" collapsed="false">
      <c r="A9" s="6" t="s">
        <v>63</v>
      </c>
      <c r="B9" s="6" t="s">
        <v>63</v>
      </c>
      <c r="C9" s="6" t="s">
        <v>321</v>
      </c>
      <c r="D9" s="6" t="n">
        <v>1300</v>
      </c>
      <c r="E9" s="6" t="s">
        <v>63</v>
      </c>
      <c r="F9" s="6" t="s">
        <v>322</v>
      </c>
      <c r="G9" s="6"/>
    </row>
    <row r="10" customFormat="false" ht="15" hidden="false" customHeight="false" outlineLevel="0" collapsed="false">
      <c r="A10" s="6" t="s">
        <v>63</v>
      </c>
      <c r="B10" s="6" t="s">
        <v>63</v>
      </c>
      <c r="C10" s="6" t="s">
        <v>324</v>
      </c>
      <c r="D10" s="6" t="n">
        <v>720</v>
      </c>
      <c r="E10" s="6" t="s">
        <v>63</v>
      </c>
      <c r="F10" s="6" t="s">
        <v>325</v>
      </c>
      <c r="G10" s="6"/>
    </row>
    <row r="11" customFormat="false" ht="15" hidden="false" customHeight="false" outlineLevel="0" collapsed="false">
      <c r="A11" s="6" t="s">
        <v>63</v>
      </c>
      <c r="B11" s="6" t="s">
        <v>63</v>
      </c>
      <c r="C11" s="6" t="s">
        <v>326</v>
      </c>
      <c r="D11" s="6" t="n">
        <v>390</v>
      </c>
      <c r="E11" s="6" t="s">
        <v>63</v>
      </c>
      <c r="F11" s="6" t="s">
        <v>325</v>
      </c>
      <c r="G11" s="6"/>
    </row>
    <row r="12" customFormat="false" ht="15" hidden="false" customHeight="false" outlineLevel="0" collapsed="false">
      <c r="A12" s="6" t="s">
        <v>63</v>
      </c>
      <c r="B12" s="6" t="s">
        <v>63</v>
      </c>
      <c r="C12" s="6" t="s">
        <v>327</v>
      </c>
      <c r="D12" s="6" t="n">
        <v>210</v>
      </c>
      <c r="E12" s="6" t="s">
        <v>63</v>
      </c>
      <c r="F12" s="6" t="s">
        <v>322</v>
      </c>
      <c r="G12" s="6"/>
    </row>
    <row r="13" customFormat="false" ht="15" hidden="false" customHeight="false" outlineLevel="0" collapsed="false">
      <c r="A13" s="6" t="s">
        <v>63</v>
      </c>
      <c r="B13" s="6" t="s">
        <v>63</v>
      </c>
      <c r="C13" s="6" t="s">
        <v>328</v>
      </c>
      <c r="D13" s="6" t="n">
        <v>170</v>
      </c>
      <c r="E13" s="6" t="s">
        <v>63</v>
      </c>
      <c r="F13" s="6" t="s">
        <v>11</v>
      </c>
      <c r="G13" s="13" t="s">
        <v>92</v>
      </c>
    </row>
    <row r="14" customFormat="false" ht="39.55" hidden="false" customHeight="false" outlineLevel="0" collapsed="false">
      <c r="A14" s="6" t="s">
        <v>63</v>
      </c>
      <c r="B14" s="6" t="s">
        <v>63</v>
      </c>
      <c r="C14" s="6" t="s">
        <v>330</v>
      </c>
      <c r="D14" s="6" t="n">
        <v>170</v>
      </c>
      <c r="E14" s="6" t="s">
        <v>63</v>
      </c>
      <c r="F14" s="6" t="s">
        <v>325</v>
      </c>
      <c r="G14" s="6"/>
    </row>
    <row r="15" customFormat="false" ht="15" hidden="false" customHeight="false" outlineLevel="0" collapsed="false">
      <c r="A15" s="6" t="s">
        <v>63</v>
      </c>
      <c r="B15" s="6" t="s">
        <v>63</v>
      </c>
      <c r="C15" s="6" t="s">
        <v>331</v>
      </c>
      <c r="D15" s="6" t="n">
        <v>90</v>
      </c>
      <c r="E15" s="6" t="s">
        <v>63</v>
      </c>
      <c r="F15" s="6" t="s">
        <v>332</v>
      </c>
      <c r="G15" s="6"/>
    </row>
    <row r="16" customFormat="false" ht="15" hidden="false" customHeight="false" outlineLevel="0" collapsed="false">
      <c r="A16" s="6" t="s">
        <v>63</v>
      </c>
      <c r="B16" s="6" t="s">
        <v>63</v>
      </c>
      <c r="C16" s="6" t="s">
        <v>334</v>
      </c>
      <c r="D16" s="6" t="n">
        <v>50</v>
      </c>
      <c r="E16" s="6" t="s">
        <v>63</v>
      </c>
      <c r="F16" s="6" t="s">
        <v>325</v>
      </c>
      <c r="G16" s="6"/>
    </row>
    <row r="17" customFormat="false" ht="15" hidden="false" customHeight="false" outlineLevel="0" collapsed="false">
      <c r="A17" s="6" t="s">
        <v>63</v>
      </c>
      <c r="B17" s="6" t="s">
        <v>63</v>
      </c>
      <c r="C17" s="6" t="s">
        <v>335</v>
      </c>
      <c r="D17" s="6" t="n">
        <v>50</v>
      </c>
      <c r="E17" s="6" t="s">
        <v>63</v>
      </c>
      <c r="F17" s="6" t="s">
        <v>325</v>
      </c>
      <c r="G17" s="6"/>
    </row>
    <row r="18" customFormat="false" ht="15" hidden="false" customHeight="false" outlineLevel="0" collapsed="false">
      <c r="A18" s="6" t="s">
        <v>63</v>
      </c>
      <c r="B18" s="6" t="s">
        <v>63</v>
      </c>
      <c r="C18" s="6" t="s">
        <v>336</v>
      </c>
      <c r="D18" s="6" t="n">
        <v>50</v>
      </c>
      <c r="E18" s="6" t="s">
        <v>63</v>
      </c>
      <c r="F18" s="6" t="s">
        <v>325</v>
      </c>
      <c r="G18" s="6"/>
    </row>
    <row r="19" customFormat="false" ht="15" hidden="false" customHeight="false" outlineLevel="0" collapsed="false">
      <c r="A19" s="6" t="s">
        <v>63</v>
      </c>
      <c r="B19" s="6" t="s">
        <v>63</v>
      </c>
      <c r="C19" s="6" t="s">
        <v>337</v>
      </c>
      <c r="D19" s="6" t="n">
        <v>30</v>
      </c>
      <c r="E19" s="6" t="s">
        <v>63</v>
      </c>
      <c r="F19" s="6" t="s">
        <v>325</v>
      </c>
      <c r="G19" s="6"/>
    </row>
    <row r="20" customFormat="false" ht="15" hidden="false" customHeight="false" outlineLevel="0" collapsed="false">
      <c r="A20" s="6" t="s">
        <v>63</v>
      </c>
      <c r="B20" s="6" t="s">
        <v>63</v>
      </c>
      <c r="C20" s="6" t="s">
        <v>338</v>
      </c>
      <c r="D20" s="6" t="n">
        <v>20</v>
      </c>
      <c r="E20" s="6" t="s">
        <v>63</v>
      </c>
      <c r="F20" s="6" t="s">
        <v>11</v>
      </c>
      <c r="G20" s="13" t="s">
        <v>92</v>
      </c>
    </row>
    <row r="21" customFormat="false" ht="15" hidden="false" customHeight="false" outlineLevel="0" collapsed="false">
      <c r="A21" s="6" t="s">
        <v>63</v>
      </c>
      <c r="B21" s="6" t="s">
        <v>63</v>
      </c>
      <c r="C21" s="6" t="s">
        <v>340</v>
      </c>
      <c r="D21" s="6" t="n">
        <v>20</v>
      </c>
      <c r="E21" s="6" t="s">
        <v>63</v>
      </c>
      <c r="F21" s="6" t="s">
        <v>11</v>
      </c>
      <c r="G21" s="13" t="s">
        <v>92</v>
      </c>
    </row>
    <row r="22" customFormat="false" ht="15" hidden="false" customHeight="false" outlineLevel="0" collapsed="false">
      <c r="A22" s="6" t="s">
        <v>63</v>
      </c>
      <c r="B22" s="6" t="s">
        <v>63</v>
      </c>
      <c r="C22" s="6" t="s">
        <v>342</v>
      </c>
      <c r="D22" s="6" t="n">
        <v>10</v>
      </c>
      <c r="E22" s="6" t="s">
        <v>63</v>
      </c>
      <c r="F22" s="6" t="s">
        <v>11</v>
      </c>
      <c r="G22" s="13" t="s">
        <v>92</v>
      </c>
    </row>
    <row r="23" customFormat="false" ht="15" hidden="false" customHeight="false" outlineLevel="0" collapsed="false">
      <c r="A23" s="6" t="s">
        <v>63</v>
      </c>
      <c r="B23" s="6" t="s">
        <v>63</v>
      </c>
      <c r="C23" s="6" t="s">
        <v>344</v>
      </c>
      <c r="D23" s="6" t="n">
        <v>10</v>
      </c>
      <c r="E23" s="6" t="s">
        <v>63</v>
      </c>
      <c r="F23" s="6" t="s">
        <v>11</v>
      </c>
      <c r="G23" s="13" t="s">
        <v>92</v>
      </c>
    </row>
    <row r="24" customFormat="false" ht="15" hidden="false" customHeight="false" outlineLevel="0" collapsed="false">
      <c r="A24" s="6" t="s">
        <v>63</v>
      </c>
      <c r="B24" s="6" t="s">
        <v>63</v>
      </c>
      <c r="C24" s="6" t="s">
        <v>345</v>
      </c>
      <c r="D24" s="6" t="n">
        <v>10</v>
      </c>
      <c r="E24" s="6" t="s">
        <v>63</v>
      </c>
      <c r="F24" s="6" t="s">
        <v>11</v>
      </c>
      <c r="G24" s="13" t="s">
        <v>92</v>
      </c>
    </row>
    <row r="25" customFormat="false" ht="15" hidden="false" customHeight="false" outlineLevel="0" collapsed="false">
      <c r="A25" s="6" t="s">
        <v>63</v>
      </c>
      <c r="B25" s="6" t="s">
        <v>63</v>
      </c>
      <c r="C25" s="6" t="s">
        <v>346</v>
      </c>
      <c r="D25" s="6" t="n">
        <v>10</v>
      </c>
      <c r="E25" s="6" t="s">
        <v>63</v>
      </c>
      <c r="F25" s="6" t="s">
        <v>325</v>
      </c>
      <c r="G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71</v>
      </c>
      <c r="B1" s="1" t="s">
        <v>72</v>
      </c>
      <c r="C1" s="1" t="s">
        <v>348</v>
      </c>
      <c r="D1" s="1" t="s">
        <v>349</v>
      </c>
      <c r="E1" s="1" t="s">
        <v>350</v>
      </c>
    </row>
    <row r="2" customFormat="false" ht="39.55" hidden="false" customHeight="false" outlineLevel="0" collapsed="false">
      <c r="A2" s="4" t="s">
        <v>77</v>
      </c>
      <c r="B2" s="4" t="n">
        <v>2400</v>
      </c>
      <c r="C2" s="4" t="s">
        <v>10</v>
      </c>
      <c r="D2" s="4" t="s">
        <v>10</v>
      </c>
      <c r="E2" s="4" t="s">
        <v>80</v>
      </c>
    </row>
    <row r="3" customFormat="false" ht="15" hidden="false" customHeight="false" outlineLevel="0" collapsed="false">
      <c r="A3" s="4" t="s">
        <v>88</v>
      </c>
      <c r="B3" s="4" t="n">
        <v>1300</v>
      </c>
      <c r="C3" s="4" t="s">
        <v>10</v>
      </c>
      <c r="D3" s="4" t="s">
        <v>10</v>
      </c>
      <c r="E3" s="4" t="s">
        <v>91</v>
      </c>
    </row>
    <row r="4" customFormat="false" ht="15" hidden="false" customHeight="false" outlineLevel="0" collapsed="false">
      <c r="A4" s="4" t="s">
        <v>93</v>
      </c>
      <c r="B4" s="4" t="n">
        <v>720</v>
      </c>
      <c r="C4" s="4" t="s">
        <v>351</v>
      </c>
      <c r="D4" s="4" t="s">
        <v>10</v>
      </c>
      <c r="E4" s="4" t="s">
        <v>95</v>
      </c>
    </row>
    <row r="5" customFormat="false" ht="15" hidden="false" customHeight="false" outlineLevel="0" collapsed="false">
      <c r="A5" s="4" t="s">
        <v>101</v>
      </c>
      <c r="B5" s="4" t="n">
        <v>390</v>
      </c>
      <c r="C5" s="4" t="s">
        <v>351</v>
      </c>
      <c r="D5" s="4" t="s">
        <v>10</v>
      </c>
      <c r="E5" s="4" t="s">
        <v>103</v>
      </c>
    </row>
    <row r="6" customFormat="false" ht="15" hidden="false" customHeight="false" outlineLevel="0" collapsed="false">
      <c r="A6" s="4" t="s">
        <v>109</v>
      </c>
      <c r="B6" s="4" t="n">
        <v>110</v>
      </c>
      <c r="C6" s="4" t="s">
        <v>351</v>
      </c>
      <c r="D6" s="4" t="s">
        <v>10</v>
      </c>
      <c r="E6" s="4" t="s">
        <v>111</v>
      </c>
    </row>
    <row r="7" customFormat="false" ht="26.85" hidden="false" customHeight="false" outlineLevel="0" collapsed="false">
      <c r="A7" s="4" t="s">
        <v>116</v>
      </c>
      <c r="B7" s="4" t="n">
        <v>30</v>
      </c>
      <c r="C7" s="4" t="s">
        <v>351</v>
      </c>
      <c r="D7" s="4" t="s">
        <v>10</v>
      </c>
      <c r="E7" s="4" t="s">
        <v>117</v>
      </c>
    </row>
    <row r="8" customFormat="false" ht="15" hidden="false" customHeight="false" outlineLevel="0" collapsed="false">
      <c r="A8" s="4" t="s">
        <v>122</v>
      </c>
      <c r="B8" s="4" t="n">
        <v>320</v>
      </c>
      <c r="C8" s="4" t="s">
        <v>351</v>
      </c>
      <c r="D8" s="4" t="s">
        <v>10</v>
      </c>
      <c r="E8" s="4" t="s">
        <v>111</v>
      </c>
    </row>
    <row r="9" customFormat="false" ht="15" hidden="false" customHeight="false" outlineLevel="0" collapsed="false">
      <c r="A9" s="4" t="s">
        <v>132</v>
      </c>
      <c r="B9" s="4" t="n">
        <v>20</v>
      </c>
      <c r="C9" s="4" t="s">
        <v>351</v>
      </c>
      <c r="D9" s="4" t="s">
        <v>10</v>
      </c>
      <c r="E9" s="4" t="s">
        <v>111</v>
      </c>
    </row>
    <row r="10" customFormat="false" ht="39.55" hidden="false" customHeight="false" outlineLevel="0" collapsed="false">
      <c r="A10" s="4" t="s">
        <v>24</v>
      </c>
      <c r="B10" s="4" t="n">
        <v>140</v>
      </c>
      <c r="C10" s="4" t="s">
        <v>16</v>
      </c>
      <c r="D10" s="4" t="s">
        <v>22</v>
      </c>
      <c r="E10" s="4" t="s">
        <v>175</v>
      </c>
    </row>
    <row r="11" customFormat="false" ht="26.85" hidden="false" customHeight="false" outlineLevel="0" collapsed="false">
      <c r="A11" s="4" t="s">
        <v>176</v>
      </c>
      <c r="B11" s="4" t="n">
        <v>90</v>
      </c>
      <c r="C11" s="4" t="s">
        <v>16</v>
      </c>
      <c r="D11" s="4" t="s">
        <v>22</v>
      </c>
      <c r="E11" s="4" t="s">
        <v>178</v>
      </c>
    </row>
    <row r="12" customFormat="false" ht="26.85" hidden="false" customHeight="false" outlineLevel="0" collapsed="false">
      <c r="A12" s="4" t="s">
        <v>179</v>
      </c>
      <c r="B12" s="4" t="n">
        <v>70</v>
      </c>
      <c r="C12" s="4" t="s">
        <v>16</v>
      </c>
      <c r="D12" s="4" t="s">
        <v>22</v>
      </c>
      <c r="E12" s="4" t="s">
        <v>178</v>
      </c>
    </row>
    <row r="13" customFormat="false" ht="26.85" hidden="false" customHeight="false" outlineLevel="0" collapsed="false">
      <c r="A13" s="4" t="s">
        <v>181</v>
      </c>
      <c r="B13" s="4" t="n">
        <v>50</v>
      </c>
      <c r="C13" s="4" t="s">
        <v>352</v>
      </c>
      <c r="D13" s="4" t="s">
        <v>22</v>
      </c>
      <c r="E13" s="4" t="s">
        <v>182</v>
      </c>
    </row>
    <row r="14" customFormat="false" ht="26.85" hidden="false" customHeight="false" outlineLevel="0" collapsed="false">
      <c r="A14" s="4" t="s">
        <v>183</v>
      </c>
      <c r="B14" s="4" t="n">
        <v>40</v>
      </c>
      <c r="C14" s="4" t="s">
        <v>352</v>
      </c>
      <c r="D14" s="4" t="s">
        <v>22</v>
      </c>
      <c r="E14" s="4" t="s">
        <v>182</v>
      </c>
    </row>
    <row r="15" customFormat="false" ht="26.85" hidden="false" customHeight="false" outlineLevel="0" collapsed="false">
      <c r="A15" s="4" t="s">
        <v>184</v>
      </c>
      <c r="B15" s="4" t="n">
        <v>40</v>
      </c>
      <c r="C15" s="4" t="s">
        <v>352</v>
      </c>
      <c r="D15" s="4" t="s">
        <v>22</v>
      </c>
      <c r="E15" s="4" t="s">
        <v>182</v>
      </c>
    </row>
    <row r="16" customFormat="false" ht="26.85" hidden="false" customHeight="false" outlineLevel="0" collapsed="false">
      <c r="A16" s="4" t="s">
        <v>185</v>
      </c>
      <c r="B16" s="4" t="n">
        <v>20</v>
      </c>
      <c r="C16" s="4" t="s">
        <v>352</v>
      </c>
      <c r="D16" s="4" t="s">
        <v>22</v>
      </c>
      <c r="E16" s="4" t="s">
        <v>182</v>
      </c>
    </row>
    <row r="17" customFormat="false" ht="26.85" hidden="false" customHeight="false" outlineLevel="0" collapsed="false">
      <c r="A17" s="4" t="s">
        <v>186</v>
      </c>
      <c r="B17" s="4" t="n">
        <v>90</v>
      </c>
      <c r="C17" s="4" t="s">
        <v>16</v>
      </c>
      <c r="D17" s="4" t="s">
        <v>22</v>
      </c>
      <c r="E17" s="4" t="s">
        <v>178</v>
      </c>
    </row>
    <row r="18" customFormat="false" ht="26.85" hidden="false" customHeight="false" outlineLevel="0" collapsed="false">
      <c r="A18" s="4" t="s">
        <v>187</v>
      </c>
      <c r="B18" s="4" t="n">
        <v>50</v>
      </c>
      <c r="C18" s="4" t="s">
        <v>16</v>
      </c>
      <c r="D18" s="4" t="s">
        <v>22</v>
      </c>
      <c r="E18" s="4" t="s">
        <v>178</v>
      </c>
    </row>
    <row r="19" customFormat="false" ht="26.85" hidden="false" customHeight="false" outlineLevel="0" collapsed="false">
      <c r="A19" s="4" t="s">
        <v>188</v>
      </c>
      <c r="B19" s="4" t="n">
        <v>50</v>
      </c>
      <c r="C19" s="4" t="s">
        <v>352</v>
      </c>
      <c r="D19" s="4" t="s">
        <v>22</v>
      </c>
      <c r="E19" s="4" t="s">
        <v>182</v>
      </c>
    </row>
    <row r="20" customFormat="false" ht="26.85" hidden="false" customHeight="false" outlineLevel="0" collapsed="false">
      <c r="A20" s="4" t="s">
        <v>189</v>
      </c>
      <c r="B20" s="4" t="n">
        <v>30</v>
      </c>
      <c r="C20" s="4" t="s">
        <v>16</v>
      </c>
      <c r="D20" s="4" t="s">
        <v>22</v>
      </c>
      <c r="E20" s="4" t="s">
        <v>178</v>
      </c>
    </row>
    <row r="21" customFormat="false" ht="26.85" hidden="false" customHeight="false" outlineLevel="0" collapsed="false">
      <c r="A21" s="4" t="s">
        <v>190</v>
      </c>
      <c r="B21" s="4" t="n">
        <v>10</v>
      </c>
      <c r="C21" s="4" t="s">
        <v>16</v>
      </c>
      <c r="D21" s="4" t="s">
        <v>22</v>
      </c>
      <c r="E21" s="4" t="s">
        <v>178</v>
      </c>
    </row>
    <row r="22" customFormat="false" ht="26.85" hidden="false" customHeight="false" outlineLevel="0" collapsed="false">
      <c r="A22" s="4" t="s">
        <v>219</v>
      </c>
      <c r="B22" s="4" t="n">
        <v>50</v>
      </c>
      <c r="C22" s="4" t="s">
        <v>353</v>
      </c>
      <c r="D22" s="4" t="s">
        <v>29</v>
      </c>
      <c r="E22" s="4" t="s">
        <v>220</v>
      </c>
    </row>
    <row r="23" customFormat="false" ht="26.85" hidden="false" customHeight="false" outlineLevel="0" collapsed="false">
      <c r="A23" s="4" t="s">
        <v>221</v>
      </c>
      <c r="B23" s="4" t="n">
        <v>40</v>
      </c>
      <c r="C23" s="4" t="s">
        <v>353</v>
      </c>
      <c r="D23" s="4" t="s">
        <v>29</v>
      </c>
      <c r="E23" s="4" t="s">
        <v>222</v>
      </c>
    </row>
    <row r="24" customFormat="false" ht="26.85" hidden="false" customHeight="false" outlineLevel="0" collapsed="false">
      <c r="A24" s="4" t="s">
        <v>225</v>
      </c>
      <c r="B24" s="4" t="n">
        <v>70</v>
      </c>
      <c r="C24" s="4" t="s">
        <v>353</v>
      </c>
      <c r="D24" s="4" t="s">
        <v>29</v>
      </c>
      <c r="E24" s="4" t="s">
        <v>226</v>
      </c>
    </row>
    <row r="25" customFormat="false" ht="26.85" hidden="false" customHeight="false" outlineLevel="0" collapsed="false">
      <c r="A25" s="4" t="s">
        <v>230</v>
      </c>
      <c r="B25" s="4" t="n">
        <v>50</v>
      </c>
      <c r="C25" s="4" t="s">
        <v>353</v>
      </c>
      <c r="D25" s="4" t="s">
        <v>29</v>
      </c>
      <c r="E25" s="4" t="s">
        <v>220</v>
      </c>
    </row>
    <row r="26" customFormat="false" ht="26.85" hidden="false" customHeight="false" outlineLevel="0" collapsed="false">
      <c r="A26" s="4" t="s">
        <v>38</v>
      </c>
      <c r="B26" s="4" t="n">
        <v>50</v>
      </c>
      <c r="C26" s="4" t="s">
        <v>33</v>
      </c>
      <c r="D26" s="4" t="s">
        <v>37</v>
      </c>
      <c r="E26" s="4" t="s">
        <v>249</v>
      </c>
    </row>
    <row r="27" customFormat="false" ht="26.85" hidden="false" customHeight="false" outlineLevel="0" collapsed="false">
      <c r="A27" s="4" t="s">
        <v>250</v>
      </c>
      <c r="B27" s="4" t="n">
        <v>90</v>
      </c>
      <c r="C27" s="4" t="s">
        <v>354</v>
      </c>
      <c r="D27" s="4" t="s">
        <v>37</v>
      </c>
      <c r="E27" s="4" t="s">
        <v>252</v>
      </c>
    </row>
    <row r="28" customFormat="false" ht="26.85" hidden="false" customHeight="false" outlineLevel="0" collapsed="false">
      <c r="A28" s="4" t="s">
        <v>253</v>
      </c>
      <c r="B28" s="4" t="n">
        <v>70</v>
      </c>
      <c r="C28" s="4" t="s">
        <v>354</v>
      </c>
      <c r="D28" s="4" t="s">
        <v>37</v>
      </c>
      <c r="E28" s="4" t="s">
        <v>254</v>
      </c>
    </row>
    <row r="29" customFormat="false" ht="26.85" hidden="false" customHeight="false" outlineLevel="0" collapsed="false">
      <c r="A29" s="4" t="s">
        <v>255</v>
      </c>
      <c r="B29" s="4" t="n">
        <v>20</v>
      </c>
      <c r="C29" s="4" t="s">
        <v>33</v>
      </c>
      <c r="D29" s="4" t="s">
        <v>37</v>
      </c>
      <c r="E29" s="4" t="s">
        <v>226</v>
      </c>
    </row>
    <row r="30" customFormat="false" ht="15" hidden="false" customHeight="false" outlineLevel="0" collapsed="false">
      <c r="A30" s="4" t="s">
        <v>44</v>
      </c>
      <c r="B30" s="4" t="n">
        <v>260</v>
      </c>
      <c r="C30" s="4" t="s">
        <v>40</v>
      </c>
      <c r="D30" s="4" t="s">
        <v>43</v>
      </c>
      <c r="E30" s="4" t="s">
        <v>283</v>
      </c>
    </row>
    <row r="31" customFormat="false" ht="15" hidden="false" customHeight="false" outlineLevel="0" collapsed="false">
      <c r="A31" s="4" t="s">
        <v>284</v>
      </c>
      <c r="B31" s="4" t="n">
        <v>140</v>
      </c>
      <c r="C31" s="4" t="s">
        <v>40</v>
      </c>
      <c r="D31" s="4" t="s">
        <v>43</v>
      </c>
      <c r="E31" s="4" t="s">
        <v>226</v>
      </c>
    </row>
    <row r="32" customFormat="false" ht="15" hidden="false" customHeight="false" outlineLevel="0" collapsed="false">
      <c r="A32" s="4" t="s">
        <v>285</v>
      </c>
      <c r="B32" s="4" t="n">
        <v>30</v>
      </c>
      <c r="C32" s="4" t="s">
        <v>40</v>
      </c>
      <c r="D32" s="4" t="s">
        <v>43</v>
      </c>
      <c r="E32" s="4" t="s">
        <v>226</v>
      </c>
    </row>
    <row r="33" customFormat="false" ht="15" hidden="false" customHeight="false" outlineLevel="0" collapsed="false">
      <c r="A33" s="4" t="s">
        <v>286</v>
      </c>
      <c r="B33" s="4" t="n">
        <v>140</v>
      </c>
      <c r="C33" s="4" t="s">
        <v>40</v>
      </c>
      <c r="D33" s="4" t="s">
        <v>43</v>
      </c>
      <c r="E33" s="4" t="s">
        <v>226</v>
      </c>
    </row>
    <row r="34" customFormat="false" ht="26.85" hidden="false" customHeight="false" outlineLevel="0" collapsed="false">
      <c r="A34" s="4" t="s">
        <v>289</v>
      </c>
      <c r="B34" s="4" t="n">
        <v>90</v>
      </c>
      <c r="C34" s="4" t="s">
        <v>40</v>
      </c>
      <c r="D34" s="4" t="s">
        <v>45</v>
      </c>
      <c r="E34" s="4" t="s">
        <v>291</v>
      </c>
    </row>
    <row r="35" customFormat="false" ht="39.55" hidden="false" customHeight="false" outlineLevel="0" collapsed="false">
      <c r="A35" s="4" t="s">
        <v>292</v>
      </c>
      <c r="B35" s="4" t="n">
        <v>30</v>
      </c>
      <c r="C35" s="4" t="s">
        <v>355</v>
      </c>
      <c r="D35" s="4" t="s">
        <v>45</v>
      </c>
      <c r="E35" s="4" t="s">
        <v>287</v>
      </c>
    </row>
    <row r="36" customFormat="false" ht="26.85" hidden="false" customHeight="false" outlineLevel="0" collapsed="false">
      <c r="A36" s="4" t="s">
        <v>328</v>
      </c>
      <c r="B36" s="4" t="n">
        <v>170</v>
      </c>
      <c r="C36" s="4" t="s">
        <v>16</v>
      </c>
      <c r="D36" s="4" t="s">
        <v>63</v>
      </c>
      <c r="E36" s="4" t="s">
        <v>329</v>
      </c>
    </row>
    <row r="37" customFormat="false" ht="15" hidden="false" customHeight="false" outlineLevel="0" collapsed="false">
      <c r="A37" s="4" t="s">
        <v>338</v>
      </c>
      <c r="B37" s="4" t="n">
        <v>20</v>
      </c>
      <c r="C37" s="4" t="s">
        <v>40</v>
      </c>
      <c r="D37" s="4" t="s">
        <v>63</v>
      </c>
      <c r="E37" s="4" t="s">
        <v>339</v>
      </c>
    </row>
    <row r="38" customFormat="false" ht="15" hidden="false" customHeight="false" outlineLevel="0" collapsed="false">
      <c r="A38" s="4" t="s">
        <v>340</v>
      </c>
      <c r="B38" s="4" t="n">
        <v>20</v>
      </c>
      <c r="C38" s="4" t="s">
        <v>40</v>
      </c>
      <c r="D38" s="4" t="s">
        <v>63</v>
      </c>
      <c r="E38" s="4" t="s">
        <v>341</v>
      </c>
    </row>
    <row r="39" customFormat="false" ht="15" hidden="false" customHeight="false" outlineLevel="0" collapsed="false">
      <c r="A39" s="4" t="s">
        <v>342</v>
      </c>
      <c r="B39" s="4" t="n">
        <v>10</v>
      </c>
      <c r="C39" s="4" t="s">
        <v>352</v>
      </c>
      <c r="D39" s="4" t="s">
        <v>63</v>
      </c>
      <c r="E39" s="4" t="s">
        <v>343</v>
      </c>
    </row>
    <row r="40" customFormat="false" ht="15" hidden="false" customHeight="false" outlineLevel="0" collapsed="false">
      <c r="A40" s="4" t="s">
        <v>344</v>
      </c>
      <c r="B40" s="4" t="n">
        <v>10</v>
      </c>
      <c r="C40" s="4" t="s">
        <v>352</v>
      </c>
      <c r="D40" s="4" t="s">
        <v>63</v>
      </c>
      <c r="E40" s="4" t="s">
        <v>343</v>
      </c>
    </row>
    <row r="41" customFormat="false" ht="15" hidden="false" customHeight="false" outlineLevel="0" collapsed="false">
      <c r="A41" s="4" t="s">
        <v>345</v>
      </c>
      <c r="B41" s="4" t="n">
        <v>10</v>
      </c>
      <c r="C41" s="4" t="s">
        <v>352</v>
      </c>
      <c r="D41" s="4" t="s">
        <v>63</v>
      </c>
      <c r="E41" s="4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2026-10-07T05:07:23Z</dcterms:created>
  <dc:creator>openpyxl</dc:creator>
  <dc:description/>
  <dc:language>en-US</dc:language>
  <cp:lastModifiedBy/>
  <dcterms:modified xsi:type="dcterms:W3CDTF">2026-10-07T05:07:23Z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